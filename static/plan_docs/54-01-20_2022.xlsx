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htv\Desktop\КЭСИ 2023\УП\УП поправленные 23-24\54.01.20 ГД\"/>
    </mc:Choice>
  </mc:AlternateContent>
  <bookViews>
    <workbookView xWindow="0" yWindow="0" windowWidth="28800" windowHeight="12210" activeTab="1"/>
  </bookViews>
  <sheets>
    <sheet name="1-2 " sheetId="4" r:id="rId1"/>
    <sheet name="3-4" sheetId="2" r:id="rId2"/>
    <sheet name="каб" sheetId="7" r:id="rId3"/>
    <sheet name="поясн" sheetId="8" r:id="rId4"/>
    <sheet name="Лист1" sheetId="9" r:id="rId5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7" l="1"/>
  <c r="D10" i="2"/>
  <c r="L70" i="2"/>
  <c r="AV57" i="2"/>
  <c r="AW57" i="2"/>
  <c r="AW50" i="2" s="1"/>
  <c r="AW10" i="2" s="1"/>
  <c r="AW51" i="2"/>
  <c r="AW36" i="2"/>
  <c r="AX57" i="2"/>
  <c r="AY57" i="2"/>
  <c r="AY50" i="2" s="1"/>
  <c r="AY10" i="2" s="1"/>
  <c r="AY51" i="2"/>
  <c r="AY36" i="2"/>
  <c r="AZ57" i="2"/>
  <c r="AV64" i="2"/>
  <c r="AV50" i="2" s="1"/>
  <c r="AV69" i="2"/>
  <c r="AX51" i="2"/>
  <c r="AX50" i="2"/>
  <c r="AX36" i="2"/>
  <c r="AX10" i="2"/>
  <c r="K69" i="2"/>
  <c r="K64" i="2"/>
  <c r="K50" i="2" s="1"/>
  <c r="K10" i="2" s="1"/>
  <c r="K9" i="2" s="1"/>
  <c r="K57" i="2"/>
  <c r="K51" i="2"/>
  <c r="K36" i="2"/>
  <c r="K33" i="2"/>
  <c r="K26" i="2"/>
  <c r="K11" i="2"/>
  <c r="O11" i="2"/>
  <c r="P11" i="2"/>
  <c r="O26" i="2"/>
  <c r="P26" i="2"/>
  <c r="O33" i="2"/>
  <c r="P33" i="2"/>
  <c r="O36" i="2"/>
  <c r="P36" i="2"/>
  <c r="O51" i="2"/>
  <c r="O50" i="2" s="1"/>
  <c r="O10" i="2" s="1"/>
  <c r="O9" i="2" s="1"/>
  <c r="P51" i="2"/>
  <c r="O57" i="2"/>
  <c r="P57" i="2"/>
  <c r="O64" i="2"/>
  <c r="P64" i="2"/>
  <c r="P50" i="2" s="1"/>
  <c r="P10" i="2" s="1"/>
  <c r="P9" i="2" s="1"/>
  <c r="O69" i="2"/>
  <c r="P69" i="2"/>
  <c r="G57" i="2"/>
  <c r="G65" i="2"/>
  <c r="BA59" i="2"/>
  <c r="BA60" i="2"/>
  <c r="BA61" i="2"/>
  <c r="BA57" i="2" s="1"/>
  <c r="BA63" i="2"/>
  <c r="F59" i="2"/>
  <c r="F60" i="2"/>
  <c r="F61" i="2"/>
  <c r="F58" i="2"/>
  <c r="F69" i="2"/>
  <c r="F36" i="2"/>
  <c r="H72" i="2"/>
  <c r="H73" i="2"/>
  <c r="H69" i="2" s="1"/>
  <c r="AU69" i="2"/>
  <c r="AU64" i="2"/>
  <c r="AU58" i="2"/>
  <c r="AU57" i="2" s="1"/>
  <c r="AU59" i="2"/>
  <c r="AU60" i="2"/>
  <c r="AU61" i="2"/>
  <c r="AU62" i="2"/>
  <c r="AU63" i="2"/>
  <c r="H63" i="2" s="1"/>
  <c r="AU51" i="2"/>
  <c r="AH36" i="2"/>
  <c r="BG64" i="2"/>
  <c r="BG69" i="2"/>
  <c r="BF57" i="2"/>
  <c r="BF50" i="2" s="1"/>
  <c r="BF10" i="2" s="1"/>
  <c r="BF9" i="2" s="1"/>
  <c r="BF69" i="2"/>
  <c r="BL36" i="2"/>
  <c r="AH11" i="2"/>
  <c r="AB36" i="2"/>
  <c r="L65" i="2"/>
  <c r="H12" i="2"/>
  <c r="F12" i="2" s="1"/>
  <c r="L12" i="2"/>
  <c r="AN36" i="2"/>
  <c r="H37" i="2"/>
  <c r="H38" i="2"/>
  <c r="H39" i="2"/>
  <c r="H40" i="2"/>
  <c r="H36" i="2" s="1"/>
  <c r="H42" i="2"/>
  <c r="H43" i="2"/>
  <c r="H44" i="2"/>
  <c r="L38" i="2"/>
  <c r="L39" i="2"/>
  <c r="L36" i="2" s="1"/>
  <c r="L40" i="2"/>
  <c r="L41" i="2"/>
  <c r="L42" i="2"/>
  <c r="L43" i="2"/>
  <c r="L44" i="2"/>
  <c r="L45" i="2"/>
  <c r="L46" i="2"/>
  <c r="L37" i="2"/>
  <c r="L71" i="2"/>
  <c r="H13" i="2"/>
  <c r="H14" i="2"/>
  <c r="H15" i="2"/>
  <c r="F15" i="2" s="1"/>
  <c r="H16" i="2"/>
  <c r="H17" i="2"/>
  <c r="H18" i="2"/>
  <c r="H19" i="2"/>
  <c r="H20" i="2"/>
  <c r="F20" i="2" s="1"/>
  <c r="H21" i="2"/>
  <c r="F21" i="2" s="1"/>
  <c r="H22" i="2"/>
  <c r="H23" i="2"/>
  <c r="L53" i="2"/>
  <c r="L54" i="2"/>
  <c r="L55" i="2"/>
  <c r="L52" i="2"/>
  <c r="L51" i="2" s="1"/>
  <c r="H62" i="2"/>
  <c r="F62" i="2"/>
  <c r="L59" i="2"/>
  <c r="L60" i="2"/>
  <c r="L61" i="2"/>
  <c r="L62" i="2"/>
  <c r="L63" i="2"/>
  <c r="L58" i="2"/>
  <c r="L15" i="2"/>
  <c r="H11" i="2"/>
  <c r="L13" i="2"/>
  <c r="L14" i="2"/>
  <c r="L16" i="2"/>
  <c r="L17" i="2"/>
  <c r="L18" i="2"/>
  <c r="L19" i="2"/>
  <c r="L11" i="2" s="1"/>
  <c r="L20" i="2"/>
  <c r="L21" i="2"/>
  <c r="L22" i="2"/>
  <c r="L23" i="2"/>
  <c r="W11" i="2"/>
  <c r="W10" i="2" s="1"/>
  <c r="W9" i="2" s="1"/>
  <c r="AB11" i="2"/>
  <c r="AB10" i="2" s="1"/>
  <c r="AB9" i="2" s="1"/>
  <c r="H48" i="2"/>
  <c r="H49" i="2"/>
  <c r="H54" i="2"/>
  <c r="H51" i="2" s="1"/>
  <c r="H55" i="2"/>
  <c r="AN11" i="2"/>
  <c r="AN51" i="2"/>
  <c r="F13" i="2"/>
  <c r="F14" i="2"/>
  <c r="F17" i="2"/>
  <c r="F18" i="2"/>
  <c r="F22" i="2"/>
  <c r="F66" i="2"/>
  <c r="F64" i="2"/>
  <c r="F54" i="2"/>
  <c r="F51" i="2"/>
  <c r="BH69" i="2"/>
  <c r="BH50" i="2" s="1"/>
  <c r="BH10" i="2" s="1"/>
  <c r="BH9" i="2" s="1"/>
  <c r="BI69" i="2"/>
  <c r="BJ69" i="2"/>
  <c r="BK69" i="2"/>
  <c r="BL69" i="2"/>
  <c r="BB69" i="2"/>
  <c r="BB64" i="2"/>
  <c r="BF64" i="2"/>
  <c r="BB57" i="2"/>
  <c r="BC57" i="2"/>
  <c r="BE57" i="2"/>
  <c r="BE50" i="2" s="1"/>
  <c r="BE10" i="2" s="1"/>
  <c r="BE9" i="2" s="1"/>
  <c r="I57" i="2"/>
  <c r="J57" i="2"/>
  <c r="M57" i="2"/>
  <c r="N57" i="2"/>
  <c r="AO57" i="2"/>
  <c r="AP57" i="2"/>
  <c r="AP50" i="2" s="1"/>
  <c r="AP10" i="2" s="1"/>
  <c r="AP9" i="2" s="1"/>
  <c r="AT57" i="2"/>
  <c r="AT50" i="2" s="1"/>
  <c r="AT10" i="2" s="1"/>
  <c r="AT9" i="2" s="1"/>
  <c r="AU36" i="2"/>
  <c r="F16" i="2"/>
  <c r="BA69" i="2"/>
  <c r="AZ69" i="2"/>
  <c r="AZ64" i="2"/>
  <c r="AZ50" i="2" s="1"/>
  <c r="AZ10" i="2" s="1"/>
  <c r="AZ9" i="2" s="1"/>
  <c r="AZ51" i="2"/>
  <c r="AZ36" i="2"/>
  <c r="N69" i="2"/>
  <c r="M69" i="2"/>
  <c r="J69" i="2"/>
  <c r="I69" i="2"/>
  <c r="G69" i="2"/>
  <c r="L66" i="2"/>
  <c r="H66" i="2"/>
  <c r="H64" i="2"/>
  <c r="BL64" i="2"/>
  <c r="BK64" i="2"/>
  <c r="BJ64" i="2"/>
  <c r="BJ50" i="2" s="1"/>
  <c r="BJ10" i="2" s="1"/>
  <c r="BJ9" i="2" s="1"/>
  <c r="BI64" i="2"/>
  <c r="BH64" i="2"/>
  <c r="BA64" i="2"/>
  <c r="BA50" i="2" s="1"/>
  <c r="BA10" i="2" s="1"/>
  <c r="BA9" i="2" s="1"/>
  <c r="N64" i="2"/>
  <c r="M64" i="2"/>
  <c r="J64" i="2"/>
  <c r="I64" i="2"/>
  <c r="G64" i="2"/>
  <c r="AT51" i="2"/>
  <c r="AS51" i="2"/>
  <c r="AP51" i="2"/>
  <c r="AO51" i="2"/>
  <c r="AM51" i="2"/>
  <c r="AJ51" i="2"/>
  <c r="AJ50" i="2" s="1"/>
  <c r="AJ10" i="2" s="1"/>
  <c r="AJ9" i="2" s="1"/>
  <c r="AI51" i="2"/>
  <c r="AI50" i="2" s="1"/>
  <c r="AI10" i="2" s="1"/>
  <c r="AI9" i="2" s="1"/>
  <c r="N51" i="2"/>
  <c r="M51" i="2"/>
  <c r="J51" i="2"/>
  <c r="I51" i="2"/>
  <c r="G51" i="2"/>
  <c r="BK36" i="2"/>
  <c r="BK10" i="2" s="1"/>
  <c r="BK9" i="2" s="1"/>
  <c r="BJ36" i="2"/>
  <c r="BI36" i="2"/>
  <c r="BH36" i="2"/>
  <c r="BG36" i="2"/>
  <c r="BG10" i="2" s="1"/>
  <c r="BG9" i="2" s="1"/>
  <c r="BF36" i="2"/>
  <c r="BE36" i="2"/>
  <c r="BD36" i="2"/>
  <c r="BC36" i="2"/>
  <c r="BB36" i="2"/>
  <c r="BA36" i="2"/>
  <c r="AV36" i="2"/>
  <c r="AT36" i="2"/>
  <c r="AS36" i="2"/>
  <c r="AR36" i="2"/>
  <c r="AQ36" i="2"/>
  <c r="AP36" i="2"/>
  <c r="AO36" i="2"/>
  <c r="AO10" i="2" s="1"/>
  <c r="AO9" i="2" s="1"/>
  <c r="AM36" i="2"/>
  <c r="AM10" i="2" s="1"/>
  <c r="AM9" i="2" s="1"/>
  <c r="AL36" i="2"/>
  <c r="AK36" i="2"/>
  <c r="AJ36" i="2"/>
  <c r="AI36" i="2"/>
  <c r="AG36" i="2"/>
  <c r="AG10" i="2" s="1"/>
  <c r="AG9" i="2" s="1"/>
  <c r="AF36" i="2"/>
  <c r="AE36" i="2"/>
  <c r="AD36" i="2"/>
  <c r="AC36" i="2"/>
  <c r="AA36" i="2"/>
  <c r="AA10" i="2" s="1"/>
  <c r="AA9" i="2" s="1"/>
  <c r="Z36" i="2"/>
  <c r="Z10" i="2" s="1"/>
  <c r="Z9" i="2" s="1"/>
  <c r="Y36" i="2"/>
  <c r="Y10" i="2" s="1"/>
  <c r="Y9" i="2" s="1"/>
  <c r="X36" i="2"/>
  <c r="W36" i="2"/>
  <c r="V36" i="2"/>
  <c r="U36" i="2"/>
  <c r="U10" i="2" s="1"/>
  <c r="U9" i="2" s="1"/>
  <c r="T36" i="2"/>
  <c r="T10" i="2" s="1"/>
  <c r="T9" i="2" s="1"/>
  <c r="S36" i="2"/>
  <c r="S10" i="2" s="1"/>
  <c r="S9" i="2" s="1"/>
  <c r="R36" i="2"/>
  <c r="Q36" i="2"/>
  <c r="N36" i="2"/>
  <c r="M36" i="2"/>
  <c r="J36" i="2"/>
  <c r="I36" i="2"/>
  <c r="G36" i="2"/>
  <c r="BL33" i="2"/>
  <c r="BK33" i="2"/>
  <c r="BJ33" i="2"/>
  <c r="BI33" i="2"/>
  <c r="BH33" i="2"/>
  <c r="BG33" i="2"/>
  <c r="BF33" i="2"/>
  <c r="BE33" i="2"/>
  <c r="BD33" i="2"/>
  <c r="BC33" i="2"/>
  <c r="BB33" i="2"/>
  <c r="BA33" i="2"/>
  <c r="AZ33" i="2"/>
  <c r="AY33" i="2"/>
  <c r="AX33" i="2"/>
  <c r="AW33" i="2"/>
  <c r="AV33" i="2"/>
  <c r="AU33" i="2"/>
  <c r="AT33" i="2"/>
  <c r="AS33" i="2"/>
  <c r="AR33" i="2"/>
  <c r="AQ33" i="2"/>
  <c r="AQ10" i="2" s="1"/>
  <c r="AQ9" i="2" s="1"/>
  <c r="AP33" i="2"/>
  <c r="AO33" i="2"/>
  <c r="AN33" i="2"/>
  <c r="AM33" i="2"/>
  <c r="AL33" i="2"/>
  <c r="AK33" i="2"/>
  <c r="AJ33" i="2"/>
  <c r="AI33" i="2"/>
  <c r="AH33" i="2"/>
  <c r="AG33" i="2"/>
  <c r="AF33" i="2"/>
  <c r="AE33" i="2"/>
  <c r="AE10" i="2" s="1"/>
  <c r="AE9" i="2" s="1"/>
  <c r="AD33" i="2"/>
  <c r="AD10" i="2" s="1"/>
  <c r="AD9" i="2" s="1"/>
  <c r="AC33" i="2"/>
  <c r="AB33" i="2"/>
  <c r="AA33" i="2"/>
  <c r="Z33" i="2"/>
  <c r="Y33" i="2"/>
  <c r="X33" i="2"/>
  <c r="X10" i="2" s="1"/>
  <c r="X9" i="2" s="1"/>
  <c r="W33" i="2"/>
  <c r="V33" i="2"/>
  <c r="U33" i="2"/>
  <c r="T33" i="2"/>
  <c r="S33" i="2"/>
  <c r="R33" i="2"/>
  <c r="Q33" i="2"/>
  <c r="N33" i="2"/>
  <c r="M33" i="2"/>
  <c r="L33" i="2"/>
  <c r="J33" i="2"/>
  <c r="I33" i="2"/>
  <c r="H33" i="2"/>
  <c r="G33" i="2"/>
  <c r="F33" i="2"/>
  <c r="BL26" i="2"/>
  <c r="BK26" i="2"/>
  <c r="BJ26" i="2"/>
  <c r="BI26" i="2"/>
  <c r="BH26" i="2"/>
  <c r="BG26" i="2"/>
  <c r="BF26" i="2"/>
  <c r="BE26" i="2"/>
  <c r="BD26" i="2"/>
  <c r="BD10" i="2" s="1"/>
  <c r="BD9" i="2" s="1"/>
  <c r="BC26" i="2"/>
  <c r="BB26" i="2"/>
  <c r="BA26" i="2"/>
  <c r="AZ26" i="2"/>
  <c r="AY26" i="2"/>
  <c r="AX26" i="2"/>
  <c r="AW26" i="2"/>
  <c r="AV26" i="2"/>
  <c r="AU26" i="2"/>
  <c r="AT26" i="2"/>
  <c r="AS26" i="2"/>
  <c r="AR26" i="2"/>
  <c r="AR10" i="2" s="1"/>
  <c r="AR9" i="2" s="1"/>
  <c r="AQ26" i="2"/>
  <c r="AP26" i="2"/>
  <c r="AO26" i="2"/>
  <c r="AN26" i="2"/>
  <c r="AM26" i="2"/>
  <c r="AL26" i="2"/>
  <c r="AL10" i="2" s="1"/>
  <c r="AL9" i="2" s="1"/>
  <c r="AK26" i="2"/>
  <c r="AJ26" i="2"/>
  <c r="AI26" i="2"/>
  <c r="AH26" i="2"/>
  <c r="AH10" i="2" s="1"/>
  <c r="AH9" i="2" s="1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N26" i="2"/>
  <c r="M26" i="2"/>
  <c r="J26" i="2"/>
  <c r="I26" i="2"/>
  <c r="G26" i="2"/>
  <c r="F26" i="2"/>
  <c r="F23" i="2"/>
  <c r="F19" i="2"/>
  <c r="BL11" i="2"/>
  <c r="BL10" i="2" s="1"/>
  <c r="BL9" i="2" s="1"/>
  <c r="BK11" i="2"/>
  <c r="BJ11" i="2"/>
  <c r="BI11" i="2"/>
  <c r="BH11" i="2"/>
  <c r="BG11" i="2"/>
  <c r="BF11" i="2"/>
  <c r="BE11" i="2"/>
  <c r="BD11" i="2"/>
  <c r="BC11" i="2"/>
  <c r="BB11" i="2"/>
  <c r="BA11" i="2"/>
  <c r="AZ11" i="2"/>
  <c r="AY11" i="2"/>
  <c r="AX11" i="2"/>
  <c r="AW11" i="2"/>
  <c r="AV11" i="2"/>
  <c r="AU11" i="2"/>
  <c r="AT11" i="2"/>
  <c r="AS11" i="2"/>
  <c r="AR11" i="2"/>
  <c r="AQ11" i="2"/>
  <c r="AP11" i="2"/>
  <c r="AO11" i="2"/>
  <c r="AM11" i="2"/>
  <c r="AL11" i="2"/>
  <c r="AK11" i="2"/>
  <c r="AJ11" i="2"/>
  <c r="AI11" i="2"/>
  <c r="AG11" i="2"/>
  <c r="AF11" i="2"/>
  <c r="AE11" i="2"/>
  <c r="AD11" i="2"/>
  <c r="AC11" i="2"/>
  <c r="AA11" i="2"/>
  <c r="Z11" i="2"/>
  <c r="Y11" i="2"/>
  <c r="X11" i="2"/>
  <c r="V11" i="2"/>
  <c r="U11" i="2"/>
  <c r="T11" i="2"/>
  <c r="S11" i="2"/>
  <c r="R11" i="2"/>
  <c r="Q11" i="2"/>
  <c r="N11" i="2"/>
  <c r="M11" i="2"/>
  <c r="J11" i="2"/>
  <c r="I11" i="2"/>
  <c r="G11" i="2"/>
  <c r="Q9" i="2"/>
  <c r="L64" i="2"/>
  <c r="L50" i="2" s="1"/>
  <c r="AS50" i="2"/>
  <c r="AS10" i="2" s="1"/>
  <c r="AS9" i="2" s="1"/>
  <c r="AM50" i="2"/>
  <c r="G50" i="2"/>
  <c r="G10" i="2" s="1"/>
  <c r="G9" i="2" s="1"/>
  <c r="AN50" i="2"/>
  <c r="AN10" i="2" s="1"/>
  <c r="AN9" i="2" s="1"/>
  <c r="BL50" i="2"/>
  <c r="I50" i="2"/>
  <c r="I10" i="2" s="1"/>
  <c r="I9" i="2" s="1"/>
  <c r="BG50" i="2"/>
  <c r="M50" i="2"/>
  <c r="M10" i="2"/>
  <c r="M9" i="2" s="1"/>
  <c r="AC10" i="2"/>
  <c r="AK10" i="2"/>
  <c r="AK9" i="2"/>
  <c r="BC50" i="2"/>
  <c r="BC10" i="2"/>
  <c r="BC9" i="2"/>
  <c r="BD50" i="2"/>
  <c r="AX9" i="2"/>
  <c r="L57" i="2"/>
  <c r="AO50" i="2"/>
  <c r="BB50" i="2"/>
  <c r="BB10" i="2" s="1"/>
  <c r="BB9" i="2" s="1"/>
  <c r="BI50" i="2"/>
  <c r="BI10" i="2" s="1"/>
  <c r="BI9" i="2" s="1"/>
  <c r="BK50" i="2"/>
  <c r="L69" i="2"/>
  <c r="J50" i="2"/>
  <c r="J10" i="2" s="1"/>
  <c r="J9" i="2" s="1"/>
  <c r="N50" i="2"/>
  <c r="N10" i="2"/>
  <c r="N9" i="2"/>
  <c r="R10" i="2"/>
  <c r="R9" i="2" s="1"/>
  <c r="V10" i="2"/>
  <c r="AF10" i="2"/>
  <c r="AF9" i="2" s="1"/>
  <c r="V9" i="2"/>
  <c r="BK28" i="4"/>
  <c r="BL27" i="4"/>
  <c r="BL25" i="4"/>
  <c r="BL28" i="4"/>
  <c r="H57" i="2" l="1"/>
  <c r="H50" i="2" s="1"/>
  <c r="H10" i="2" s="1"/>
  <c r="H9" i="2" s="1"/>
  <c r="F63" i="2"/>
  <c r="F57" i="2" s="1"/>
  <c r="F50" i="2" s="1"/>
  <c r="AU50" i="2"/>
  <c r="AU10" i="2" s="1"/>
  <c r="F11" i="2"/>
  <c r="AV10" i="2"/>
  <c r="AV9" i="2" s="1"/>
  <c r="L10" i="2"/>
  <c r="L9" i="2" s="1"/>
  <c r="F10" i="2" l="1"/>
  <c r="F9" i="2" s="1"/>
</calcChain>
</file>

<file path=xl/sharedStrings.xml><?xml version="1.0" encoding="utf-8"?>
<sst xmlns="http://schemas.openxmlformats.org/spreadsheetml/2006/main" count="404" uniqueCount="249">
  <si>
    <t>Индекс</t>
  </si>
  <si>
    <t>1 курс</t>
  </si>
  <si>
    <t>Всего</t>
  </si>
  <si>
    <t>экзаменов</t>
  </si>
  <si>
    <t>зачетов</t>
  </si>
  <si>
    <t xml:space="preserve">экзамен </t>
  </si>
  <si>
    <t>Формы промежуточной аттестации  (семестр)</t>
  </si>
  <si>
    <t xml:space="preserve">* не входит в общее количество зачетов и экзаменов </t>
  </si>
  <si>
    <t>ГИА.00</t>
  </si>
  <si>
    <t>Иностранный язык</t>
  </si>
  <si>
    <t>История</t>
  </si>
  <si>
    <t>ОП.00</t>
  </si>
  <si>
    <t>ОП.01</t>
  </si>
  <si>
    <t>ОП.02</t>
  </si>
  <si>
    <t>ОП.03</t>
  </si>
  <si>
    <t>ОП.04</t>
  </si>
  <si>
    <t>Безопасность жизнедеятельности</t>
  </si>
  <si>
    <t>П.00</t>
  </si>
  <si>
    <t>ПМ.01</t>
  </si>
  <si>
    <t>МДК.01.01</t>
  </si>
  <si>
    <t>ПМ.02</t>
  </si>
  <si>
    <t>МДК.02.01</t>
  </si>
  <si>
    <t>ПМ.03</t>
  </si>
  <si>
    <t>Физическая культура</t>
  </si>
  <si>
    <t>Учебная практика</t>
  </si>
  <si>
    <t>ЕН.00</t>
  </si>
  <si>
    <t>ПП.01</t>
  </si>
  <si>
    <t>МДК.02.02</t>
  </si>
  <si>
    <t>ПП.02</t>
  </si>
  <si>
    <t xml:space="preserve"> дисциплин и МДК </t>
  </si>
  <si>
    <t>учебной практики</t>
  </si>
  <si>
    <t xml:space="preserve">Производственная практика (преддипломная) </t>
  </si>
  <si>
    <t>Основы безопасности жизнедеятельности</t>
  </si>
  <si>
    <t>ОП.05</t>
  </si>
  <si>
    <t>ОП.06</t>
  </si>
  <si>
    <t>ОП.07</t>
  </si>
  <si>
    <t>ОП.08</t>
  </si>
  <si>
    <t>ОП.09</t>
  </si>
  <si>
    <t>производственной практики/ преддипломной практики</t>
  </si>
  <si>
    <t>ОУД.01</t>
  </si>
  <si>
    <t>ОУД.02</t>
  </si>
  <si>
    <t>ОУД.07</t>
  </si>
  <si>
    <t>ОУД.03</t>
  </si>
  <si>
    <t>ОУД.06</t>
  </si>
  <si>
    <t>Наименование учебных  циклов,разделов,  учебных дисциплин, профессиональных модулей, МДК, практик</t>
  </si>
  <si>
    <t>дифференцирован
ный зачет</t>
  </si>
  <si>
    <t>ОП.10</t>
  </si>
  <si>
    <t>УП.01</t>
  </si>
  <si>
    <t>УП.02</t>
  </si>
  <si>
    <t>Литература</t>
  </si>
  <si>
    <t xml:space="preserve">Государственная итоговая аттестация </t>
  </si>
  <si>
    <t>контрольных работ</t>
  </si>
  <si>
    <t>ОУД.00</t>
  </si>
  <si>
    <t>ОУД.11</t>
  </si>
  <si>
    <t>Нагрузка во взаимодействии с преподавателем</t>
  </si>
  <si>
    <t>ВСЕГО</t>
  </si>
  <si>
    <t>всего во взаимодействии с преподавателем</t>
  </si>
  <si>
    <t>Самостоятельная работа</t>
  </si>
  <si>
    <t>Консультации</t>
  </si>
  <si>
    <t>Объем образовательной программы</t>
  </si>
  <si>
    <t>Общеобразовательный  цикл</t>
  </si>
  <si>
    <t>Математический и общий естественнонаучный   цикл</t>
  </si>
  <si>
    <t>Общепрофессиональный цикл</t>
  </si>
  <si>
    <t>Профессиональный  цикл</t>
  </si>
  <si>
    <t>в т.ч.</t>
  </si>
  <si>
    <t>учебные занятия</t>
  </si>
  <si>
    <t xml:space="preserve">практика </t>
  </si>
  <si>
    <t xml:space="preserve">в т.ч. </t>
  </si>
  <si>
    <t>консультации</t>
  </si>
  <si>
    <t xml:space="preserve">лабораторно-практические занятия </t>
  </si>
  <si>
    <t>курсовое проектирование , индивидуальный учебный проект</t>
  </si>
  <si>
    <t xml:space="preserve">теоретические занятия </t>
  </si>
  <si>
    <t xml:space="preserve">Экзамены </t>
  </si>
  <si>
    <t>Объем образовательной пограммы  по  циклам (академических часов)</t>
  </si>
  <si>
    <t xml:space="preserve">Всего </t>
  </si>
  <si>
    <t xml:space="preserve">Самостоятельная работа </t>
  </si>
  <si>
    <t xml:space="preserve">Прак тика </t>
  </si>
  <si>
    <t xml:space="preserve">Учебные занятия </t>
  </si>
  <si>
    <t xml:space="preserve">3 курс </t>
  </si>
  <si>
    <t xml:space="preserve">2 курс </t>
  </si>
  <si>
    <t>1 семестр 17 нед.</t>
  </si>
  <si>
    <t>Объем часов по учебным циклам</t>
  </si>
  <si>
    <t>3 семестр  16 нед. + 1 нед.</t>
  </si>
  <si>
    <t>Контрольная работа за семестр</t>
  </si>
  <si>
    <t>экзамены /государственная итоговая аттестация</t>
  </si>
  <si>
    <t>МДК.01.02</t>
  </si>
  <si>
    <t>УП.03</t>
  </si>
  <si>
    <t>ПП.03</t>
  </si>
  <si>
    <t>1,2*</t>
  </si>
  <si>
    <t>3. План учебного процесса</t>
  </si>
  <si>
    <t>Наименование</t>
  </si>
  <si>
    <t>Лаборатории:</t>
  </si>
  <si>
    <t>Спортивный комплекс:</t>
  </si>
  <si>
    <t>Залы:</t>
  </si>
  <si>
    <t>в форме практической подготовки</t>
  </si>
  <si>
    <t>ОУД.10</t>
  </si>
  <si>
    <t>ОУД.05</t>
  </si>
  <si>
    <t xml:space="preserve">     </t>
  </si>
  <si>
    <t xml:space="preserve">Учебный план
</t>
  </si>
  <si>
    <t>Автономная некоммерческая организация профессионального образования "Колледж экономики, страхового дела и информационных технологий КЭСИ"</t>
  </si>
  <si>
    <t>УТВЕРЖДАЮ:</t>
  </si>
  <si>
    <t>Форма обучения - очная</t>
  </si>
  <si>
    <t>1. Календарный учебный график</t>
  </si>
  <si>
    <t xml:space="preserve">2. Сводные данные по бюджету времени (в неделях)
</t>
  </si>
  <si>
    <t>Курсы</t>
  </si>
  <si>
    <t>Сентябрь</t>
  </si>
  <si>
    <t>29.IX - 5.X</t>
  </si>
  <si>
    <t>Октябрь</t>
  </si>
  <si>
    <t>27.X - 2.XI</t>
  </si>
  <si>
    <t>Ноябрь</t>
  </si>
  <si>
    <t>Декабрь</t>
  </si>
  <si>
    <t>29.XII - 4.I</t>
  </si>
  <si>
    <t>Январь</t>
  </si>
  <si>
    <t>26.I - 1.II</t>
  </si>
  <si>
    <t>Февраль</t>
  </si>
  <si>
    <t>23.II - 1.III</t>
  </si>
  <si>
    <t>Март</t>
  </si>
  <si>
    <t>30.III - 5.IV</t>
  </si>
  <si>
    <t>Апрель</t>
  </si>
  <si>
    <t>27.IV - 3.V</t>
  </si>
  <si>
    <t>Май</t>
  </si>
  <si>
    <t>Июнь</t>
  </si>
  <si>
    <t>29.VI - 5.VII</t>
  </si>
  <si>
    <t>Июль</t>
  </si>
  <si>
    <t>27.VII - 2.VIII</t>
  </si>
  <si>
    <t>Август</t>
  </si>
  <si>
    <t>Обучение по дисциплинаам и междисциплинарным курсам</t>
  </si>
  <si>
    <t>Производственная практика</t>
  </si>
  <si>
    <t xml:space="preserve">промежуточная аттестация </t>
  </si>
  <si>
    <t>Каникулы</t>
  </si>
  <si>
    <t xml:space="preserve">преддипломная </t>
  </si>
  <si>
    <t>═</t>
  </si>
  <si>
    <t>::</t>
  </si>
  <si>
    <t>х</t>
  </si>
  <si>
    <t>III</t>
  </si>
  <si>
    <t>Итого</t>
  </si>
  <si>
    <t>Обозначения:</t>
  </si>
  <si>
    <t>Теоретическое обучение</t>
  </si>
  <si>
    <t>Практика учебная</t>
  </si>
  <si>
    <t>Промежуточная аттестация</t>
  </si>
  <si>
    <t>Государственная итоговая аттестация</t>
  </si>
  <si>
    <t>:  :</t>
  </si>
  <si>
    <t>Квалификация -    графический дизайнер</t>
  </si>
  <si>
    <t>Нормативный срок обучения  - 3 года 10 месяцев</t>
  </si>
  <si>
    <t xml:space="preserve">по профессии  среднего профессионального образования </t>
  </si>
  <si>
    <t xml:space="preserve">Производственная практика              </t>
  </si>
  <si>
    <t xml:space="preserve">Каникулы
</t>
  </si>
  <si>
    <t>4 курс</t>
  </si>
  <si>
    <t xml:space="preserve">                                                       Распределение обязательной 
учебной нагрузки по курсам и семестрам
(час. в семестр)</t>
  </si>
  <si>
    <t>4 семестр 22 нед.+ 2 нед.</t>
  </si>
  <si>
    <t>5 семестр 14нед.+ 3нед.</t>
  </si>
  <si>
    <t>Русский язык</t>
  </si>
  <si>
    <t>Математика</t>
  </si>
  <si>
    <t>Химия</t>
  </si>
  <si>
    <t>Биология</t>
  </si>
  <si>
    <t>ОУД.04</t>
  </si>
  <si>
    <t>ОУД.08</t>
  </si>
  <si>
    <t>ОУД.09</t>
  </si>
  <si>
    <t>ОУД.12</t>
  </si>
  <si>
    <t>Дополнительные учебные предметы</t>
  </si>
  <si>
    <t>ДУП.00</t>
  </si>
  <si>
    <t>ДУП.01</t>
  </si>
  <si>
    <t>ДУП.02</t>
  </si>
  <si>
    <t>Навыки самопрезентации</t>
  </si>
  <si>
    <t>Основы графического дизайна</t>
  </si>
  <si>
    <t>Основы материаловедения</t>
  </si>
  <si>
    <t>История дизайна</t>
  </si>
  <si>
    <t>Основы дизайна и композиции</t>
  </si>
  <si>
    <t>Основы экономической деятельности</t>
  </si>
  <si>
    <t>ИН.яз в ПД</t>
  </si>
  <si>
    <t>Живопись с основами цветоведения</t>
  </si>
  <si>
    <t>Рисунок с основами перспективы</t>
  </si>
  <si>
    <t>Разработка технического задания на продукт графического дизайна</t>
  </si>
  <si>
    <t>Дизайн-проектирование</t>
  </si>
  <si>
    <t>Проектная графика</t>
  </si>
  <si>
    <t>2 семестр 24 нед.</t>
  </si>
  <si>
    <t>7 семестр 14нед+3 нед.</t>
  </si>
  <si>
    <t xml:space="preserve">Создание графических дизайн –макетов </t>
  </si>
  <si>
    <t>Фирменный стиль и корпоративный дизайн</t>
  </si>
  <si>
    <t>Информационный дизайн и медиа</t>
  </si>
  <si>
    <t>МДК.02.03</t>
  </si>
  <si>
    <t xml:space="preserve">Многостраничный дизайн </t>
  </si>
  <si>
    <t>МДК.02.04</t>
  </si>
  <si>
    <t>Дизайн упаковки</t>
  </si>
  <si>
    <t>Подготовка  дизайн -  макета к печати (публикации)</t>
  </si>
  <si>
    <t>МДК 03.01</t>
  </si>
  <si>
    <t>Финальная сборка дизайн -  макетов и под-готовка   их к печати типографии, к публи-кации</t>
  </si>
  <si>
    <t>ПМ.04</t>
  </si>
  <si>
    <t>Организация  личного профессионального развития и обучения на рабочем месте</t>
  </si>
  <si>
    <t>МДК.04.01</t>
  </si>
  <si>
    <t>Основы   менеджмента и планирование профессиональной деятельности</t>
  </si>
  <si>
    <t>МДК.04.02</t>
  </si>
  <si>
    <t>Психология и этика профессиональной деятельности</t>
  </si>
  <si>
    <t>УП.04</t>
  </si>
  <si>
    <t>Учебная практика *</t>
  </si>
  <si>
    <t>ПП.04</t>
  </si>
  <si>
    <t>Производственная практика *</t>
  </si>
  <si>
    <t>6 семестр 12 нед.+10нед.+1нед.+1нед.</t>
  </si>
  <si>
    <t>8 семестр 13нед.+ 3 нед+5 нед.+1 нед+.2 нед.</t>
  </si>
  <si>
    <t>Астрономия</t>
  </si>
  <si>
    <t>Родной язык</t>
  </si>
  <si>
    <t>Технология/История родного края</t>
  </si>
  <si>
    <t>Основы предпринимательства</t>
  </si>
  <si>
    <t xml:space="preserve">Директор  АНО ПО "КЭСИ"     ___________  О.В. Приходько   "___"________2022 г.     </t>
  </si>
  <si>
    <t>4,6,8</t>
  </si>
  <si>
    <t>5,6,7,8</t>
  </si>
  <si>
    <t>54.01.20  Графический дизайнер</t>
  </si>
  <si>
    <t>6*</t>
  </si>
  <si>
    <t>8*</t>
  </si>
  <si>
    <t>7*</t>
  </si>
  <si>
    <t>4*</t>
  </si>
  <si>
    <t>Социально-экономических дисциплин</t>
  </si>
  <si>
    <t>Иностранного языка</t>
  </si>
  <si>
    <t>Компьютерных (информационных) технологий</t>
  </si>
  <si>
    <t>Безопасности жизнедеятельности</t>
  </si>
  <si>
    <t>Материаловедения</t>
  </si>
  <si>
    <t>Живописи и дизайна</t>
  </si>
  <si>
    <t>Художественно-конструкторского проектирования</t>
  </si>
  <si>
    <t>Мультимедийных технологий</t>
  </si>
  <si>
    <t>Графических работ и макетирования</t>
  </si>
  <si>
    <t>Макетирования и 3D-моделирования</t>
  </si>
  <si>
    <t xml:space="preserve"> </t>
  </si>
  <si>
    <t>Мастерские:</t>
  </si>
  <si>
    <t>Учебно-производственная мастерская (печатных процессов)</t>
  </si>
  <si>
    <t>Спортивный зал</t>
  </si>
  <si>
    <t>Открытый стадион широкого профиля с элементами полосы препятствий</t>
  </si>
  <si>
    <t>Библиотека, читальный зал с выходом в сеть Интернет</t>
  </si>
  <si>
    <t>Актовый зал</t>
  </si>
  <si>
    <t>4. Учебная и производственная  практика</t>
  </si>
  <si>
    <t>5. Перечень лабораторий, кабинетов, мастерских и др.</t>
  </si>
  <si>
    <t>№ п/п</t>
  </si>
  <si>
    <t>Семестр</t>
  </si>
  <si>
    <t>Недель</t>
  </si>
  <si>
    <t>Кабинеты:</t>
  </si>
  <si>
    <t>Пояснения</t>
  </si>
  <si>
    <t>3. Продолжительность и организация учебного времени:
- для всех видов аудиторных занятий академический час устанавливается продолжительностью 45 минут;
- объем обязательных аудиторных занятий не превышает 36 академических часов в неделю.</t>
  </si>
  <si>
    <r>
      <t xml:space="preserve">4. Специфика формирования и реализации общеобразовательного цикла:
4.1 Обязательная часть цикла - 2082.:
</t>
    </r>
    <r>
      <rPr>
        <sz val="11"/>
        <color theme="1"/>
        <rFont val="Times New Roman"/>
        <family val="1"/>
        <charset val="204"/>
      </rPr>
      <t xml:space="preserve">
</t>
    </r>
  </si>
  <si>
    <t xml:space="preserve"> 5. Специфика реализации дисциплин «Физическая культура» и «Безопасность жизнедеятельности»:
5.1 Дисциплина "Физическая культура" - 237 часов;
5.2 Дисциплина "Безопасность жизнедеятельности" - 36 часов, из них на освоение основ военной службы (для юношей) и основ медицинских знаний (для девушек) -  70% от общего объема времени; 
5.3 Учебные сборы проходят на базе организаций, определенных Учредителем в объеме 36 часов.</t>
  </si>
  <si>
    <r>
      <t xml:space="preserve">6. Распределение объема часов вариативной части:
Вариативная часть образовательной программы 1122 ч. направлена  на углубление подготовки, введение новых дисциплин и междисциплинарных курсов,  увеличение часов по профессиональным модулям, в том числе на учебную и производственные практики: </t>
    </r>
    <r>
      <rPr>
        <i/>
        <sz val="11"/>
        <color rgb="FFFF0000"/>
        <rFont val="Times New Roman"/>
        <family val="1"/>
        <charset val="204"/>
      </rPr>
      <t xml:space="preserve">
</t>
    </r>
    <r>
      <rPr>
        <sz val="11"/>
        <color theme="1"/>
        <rFont val="Times New Roman"/>
        <family val="1"/>
        <charset val="204"/>
      </rPr>
      <t xml:space="preserve">Общепрофессиональный цикл увеличин на 148 ч, в том числе на увеличение объема часов дисциплины:
ОП.03 История дизайна - 36 ч
ОП.04 Основы дизайна и композиции - 30 ч
ОП.06 Физическая культура  - 46., 
введение новых дисциплин ОП.08 Живопись с основами цветоведения- 98 ч., ОП.09 Рисунок с основами перспективы -104 ч.,ОП.10 Основы предпринимательства - 52 ч.                                                                                                                                
6.3 Увеличение объема времени профессиональных модулей 775 ч.
</t>
    </r>
  </si>
  <si>
    <t xml:space="preserve">7.Курсовые работы (проекты): 
</t>
  </si>
  <si>
    <t xml:space="preserve">8. Организация практической подготовки:
При реализации ОПОП СПО предусматриваются следующие виды практик: учебная и производственная практика.
8.1 Учебная практика проводится в рамках профессиональных модулей: ПМ.01, ПМ.02., ПМ.03. Общий объем учебной практики - 468 часов (УП.01 - 36 ч.,  УП.02 - 324 ч., УП.03 - 72 ч.). Учебная практика  проводится в учебных, учебно-производственных мастерских, лабораториях Колледжа. Место проведения - АНОПО КЭСИ;
8.2 Производственная практика проводится в рамках профессиональных модулей: ПМ.01, ПМ.02, ПМ.03., ПМ.04. Реализуется концентрированно в несколько периодов. По окончании производственной практики проводится д/зачет. Объем производственной практики - 504 часа (ПП.01 - 108 ч, ПП.02 - 108 ч., ПП.03 - 144 ч., ПП.04 - 144 ч.). 
</t>
  </si>
  <si>
    <r>
      <t xml:space="preserve">9. Формы проведения промежуточной аттестации - </t>
    </r>
    <r>
      <rPr>
        <sz val="11"/>
        <color rgb="FFFF0000"/>
        <rFont val="Times New Roman"/>
        <family val="1"/>
        <charset val="204"/>
      </rPr>
      <t xml:space="preserve"> </t>
    </r>
    <r>
      <rPr>
        <sz val="11"/>
        <rFont val="Times New Roman"/>
        <family val="1"/>
        <charset val="204"/>
      </rPr>
      <t>дифференцированный зачет, экзамен. Зачеты и дифференцированные зачеты проводится в пределах учебного времени, отведенного на соответствующие учебные предметы/дисциплины и МДК, как традиционным, так и инновационным методами, включая информационные технологии.
10.1 Количество форм промежуточной аттестации в учебном году:
- экзамены:  2 курс/5 экзаменов, 3 курс /2  экзамена, 4 курс/6 экзаменов;
- дифференцированный зачет: - 1 курс/10 дифференцированных зачетов, 2 курс/8 дифференцированных зачетов, 3 курс/10 дифференцированных зачетов., 4 курс/6 дифференцированных зачетов.
10.2 В рамках часов промежуточной аттестации возможно выделение часов на предэкзаменационные консультации.</t>
    </r>
  </si>
  <si>
    <t xml:space="preserve">11. Государственная итоговая аттестация проводится в форме демонстрационного экзамена.
</t>
  </si>
  <si>
    <t>Согласовано</t>
  </si>
  <si>
    <t>Зам. директора</t>
  </si>
  <si>
    <t>методист</t>
  </si>
  <si>
    <t>Председатнель ПЦК</t>
  </si>
  <si>
    <t>1. Учебный план предназначен для реализации требований ФГОС СПО на базе основного общего образования и разработан на основании следующих нормативных документов:
- Приказ федеральный государственный образовательный стандарт среднего профессионального образования по профессии 54.01.20 Графический дизайнер  от 9 декабря 2016 г. №1543
- Федеральный закон от 29 декабря 2012 г. № 273-ФЗ «Об образовании в Российской Федерации»;
- Приказ Минпросвещения России от 24.08.2022 № 762 «Об утверждении Порядка организации и осуществления образовательной деятельности по образовательным программам среднего профессионального образования»;
- Приказ Минпросвещения России от 12.08.2022 № 732 «О внесении изменений в федеральный государственный образовательный стандарт среднего общего образования, утвержденный приказом Министерства образования и науки Российской Федерации от 17 мая 2012 г. № 413» ;
- Приказ Министерства образования и науки Российской Федерации от 2 июля 2013 года № 513 «Об утверждении Перечня профессий рабочих, должностей служащих, по которым осуществляется профессиональное обучение» (с изменениями);
- Приказ Министерства просвещения Российской Федерации от 17.05.2022 № 336 «Об утверждении перечней профессий и специальностей среднего профессионального образования и установлении соответствия отдельных профессий и специальностей среднего профессионального образования, указанных в этих перечнях, профессиям и специальностям среднего профессионального образования, перечни которых утверждены приказом Министерства образования и науки Российской Федерации от 29 октября 2013 г. № 1199 «Об утверждении перечней профессий и специальностей среднего профессионального образования»;
- Приказ Министерства науки и высшего образования Российской Федерации, Министерства просвещения Российской Федерации от 05.08.2020 № 885/390 «О практической подготовке обучающихся» в ред. Приказа Минобрнауки РФ № 1430, Минпросвещения РФ № 652 от 18.11.2020; 
- Приказ Министерства просвещения Российской Федерации от 08.11.2021 № 800 «Об утверждении Порядка проведения государственной итоговой аттестации по образовательным программам среднего профессионального образования» (с изменениями); 
- Приказ Минобороны РФ и Министерства образования и науки РФ от 24 февраля 2010 г. № 96/134 «Об утверждении Инструкции об организации обучения граждан Российской Федерации начальным знаниям в области обороны и их подготовки по основам военной службы в образовательных учреждениях среднего (полного) общего образования, образовательных учреждениях начального профессионального и среднего профессионального образования и учебных пунктах»;
- Постановление Главного государственного санитарного врача РФ от 28.09.2020 № 28 «Об утверждении санитарных правил СП 2.4.3648-20 «Санитарно-эпидемиологические требования к организациям воспитания и обучения, отдыха и оздоровления детей и молодежи» (вместе с «СП 2.4.3648-20. Санитарные правил»);
- Письмо Рособрнадзора от 26 марта 2019 года № 04-32 «О соблюдении требований законодательства по обеспечению возможности получения образования детьми инвалидами и лицами с ограниченными возможностями здоровья»;
- Письмо Минобрнауки России от 22 апреля 2015 года № 06-443 «О направлении Методических рекомендаций (вместе с «Методическими рекомендациями по разработке и реализации адаптированных образовательных программ среднего профессионального образования», утв. Минобрнауки России 20.04.2015 № 06-830вн);
- Федеральная образовательная программа среднего общего образования» ;
- Примерная основная профессиональная образовательная программа среднего профессионального образования по профессии 54.01.20 Графический дизайнер;
- Устав и иные локальные нормативные акты (АНОПО КЭСИ).</t>
  </si>
  <si>
    <r>
      <t xml:space="preserve">2. Особенности организации учебного процесса и режима занятий: </t>
    </r>
    <r>
      <rPr>
        <i/>
        <sz val="11"/>
        <rFont val="Times New Roman"/>
        <family val="1"/>
        <charset val="204"/>
      </rPr>
      <t>- 9.30 - , 17.20- ;</t>
    </r>
    <r>
      <rPr>
        <sz val="11"/>
        <rFont val="Times New Roman"/>
        <family val="1"/>
        <charset val="204"/>
      </rPr>
      <t xml:space="preserve">
- режим работы образовательной организации шестидневный;
- при реализации образовательной программы образовательная организация вправе применять электронное обучение и дистанционные образовательные технологии.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</si>
</sst>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4" x14ac:knownFonts="1">
    <font>
      <sz val="10"/>
      <name val="Arial"/>
    </font>
    <font>
      <sz val="10"/>
      <name val="Arial"/>
      <family val="2"/>
      <charset val="204"/>
    </font>
    <font>
      <sz val="8"/>
      <name val="Arial"/>
      <family val="2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4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  <font>
      <sz val="11"/>
      <name val="Times New Roman"/>
      <family val="1"/>
      <charset val="204"/>
    </font>
    <font>
      <sz val="8"/>
      <name val="Arial"/>
      <family val="2"/>
      <charset val="204"/>
    </font>
    <font>
      <b/>
      <sz val="11"/>
      <name val="Times New Roman"/>
      <family val="1"/>
      <charset val="204"/>
    </font>
    <font>
      <u/>
      <sz val="10"/>
      <color theme="10"/>
      <name val="Arial"/>
      <family val="2"/>
      <charset val="204"/>
    </font>
    <font>
      <sz val="7"/>
      <name val="Times New Roman"/>
      <family val="1"/>
      <charset val="204"/>
    </font>
    <font>
      <sz val="11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sz val="8"/>
      <name val="Times New Roman"/>
      <family val="1"/>
      <charset val="204"/>
    </font>
    <font>
      <b/>
      <sz val="8"/>
      <name val="Times New Roman"/>
      <family val="1"/>
      <charset val="204"/>
    </font>
    <font>
      <b/>
      <sz val="9"/>
      <name val="Times New Roman"/>
      <family val="1"/>
      <charset val="204"/>
    </font>
    <font>
      <b/>
      <sz val="10"/>
      <name val="Arial Cyr"/>
      <charset val="204"/>
    </font>
    <font>
      <sz val="14"/>
      <name val="Times New Roman"/>
      <family val="1"/>
      <charset val="204"/>
    </font>
    <font>
      <sz val="13"/>
      <name val="Times New Roman"/>
      <family val="1"/>
      <charset val="204"/>
    </font>
    <font>
      <b/>
      <sz val="13"/>
      <name val="Times New Roman"/>
      <family val="1"/>
      <charset val="204"/>
    </font>
    <font>
      <sz val="8"/>
      <color indexed="8"/>
      <name val="Tahoma"/>
      <family val="2"/>
      <charset val="204"/>
    </font>
    <font>
      <b/>
      <sz val="10"/>
      <color indexed="8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sz val="11"/>
      <color indexed="8"/>
      <name val="Times New Roman"/>
      <family val="1"/>
      <charset val="204"/>
    </font>
    <font>
      <b/>
      <sz val="11"/>
      <color indexed="8"/>
      <name val="Times New Roman"/>
      <family val="1"/>
      <charset val="204"/>
    </font>
    <font>
      <i/>
      <sz val="11"/>
      <name val="Times New Roman"/>
      <family val="1"/>
      <charset val="204"/>
    </font>
    <font>
      <sz val="11"/>
      <color theme="1"/>
      <name val="Times New Roman"/>
      <family val="1"/>
      <charset val="204"/>
    </font>
    <font>
      <i/>
      <sz val="11"/>
      <color rgb="FFFF0000"/>
      <name val="Times New Roman"/>
      <family val="1"/>
      <charset val="204"/>
    </font>
    <font>
      <sz val="11"/>
      <color rgb="FFFF0000"/>
      <name val="Times New Roman"/>
      <family val="1"/>
      <charset val="204"/>
    </font>
  </fonts>
  <fills count="3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16"/>
      </patternFill>
    </fill>
    <fill>
      <patternFill patternType="solid">
        <fgColor theme="0"/>
        <bgColor indexed="16"/>
      </patternFill>
    </fill>
  </fills>
  <borders count="9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48">
    <xf numFmtId="0" fontId="0" fillId="0" borderId="0" applyNumberFormat="0" applyFont="0" applyFill="0" applyBorder="0" applyAlignment="0" applyProtection="0">
      <alignment vertical="top"/>
    </xf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5" borderId="0" applyNumberFormat="0" applyBorder="0" applyAlignment="0" applyProtection="0"/>
    <xf numFmtId="0" fontId="9" fillId="8" borderId="0" applyNumberFormat="0" applyBorder="0" applyAlignment="0" applyProtection="0"/>
    <xf numFmtId="0" fontId="9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9" borderId="0" applyNumberFormat="0" applyBorder="0" applyAlignment="0" applyProtection="0"/>
    <xf numFmtId="0" fontId="11" fillId="7" borderId="1" applyNumberFormat="0" applyAlignment="0" applyProtection="0"/>
    <xf numFmtId="0" fontId="12" fillId="20" borderId="2" applyNumberFormat="0" applyAlignment="0" applyProtection="0"/>
    <xf numFmtId="0" fontId="13" fillId="20" borderId="1" applyNumberFormat="0" applyAlignment="0" applyProtection="0"/>
    <xf numFmtId="0" fontId="14" fillId="0" borderId="3" applyNumberFormat="0" applyFill="0" applyAlignment="0" applyProtection="0"/>
    <xf numFmtId="0" fontId="15" fillId="0" borderId="4" applyNumberFormat="0" applyFill="0" applyAlignment="0" applyProtection="0"/>
    <xf numFmtId="0" fontId="16" fillId="0" borderId="5" applyNumberFormat="0" applyFill="0" applyAlignment="0" applyProtection="0"/>
    <xf numFmtId="0" fontId="16" fillId="0" borderId="0" applyNumberFormat="0" applyFill="0" applyBorder="0" applyAlignment="0" applyProtection="0"/>
    <xf numFmtId="0" fontId="17" fillId="0" borderId="6" applyNumberFormat="0" applyFill="0" applyAlignment="0" applyProtection="0"/>
    <xf numFmtId="0" fontId="18" fillId="21" borderId="7" applyNumberFormat="0" applyAlignment="0" applyProtection="0"/>
    <xf numFmtId="0" fontId="19" fillId="0" borderId="0" applyNumberFormat="0" applyFill="0" applyBorder="0" applyAlignment="0" applyProtection="0"/>
    <xf numFmtId="0" fontId="20" fillId="22" borderId="0" applyNumberFormat="0" applyBorder="0" applyAlignment="0" applyProtection="0"/>
    <xf numFmtId="0" fontId="26" fillId="0" borderId="0" applyNumberFormat="0" applyFont="0" applyFill="0" applyBorder="0" applyAlignment="0" applyProtection="0">
      <alignment vertical="top"/>
    </xf>
    <xf numFmtId="0" fontId="21" fillId="3" borderId="0" applyNumberFormat="0" applyBorder="0" applyAlignment="0" applyProtection="0"/>
    <xf numFmtId="0" fontId="22" fillId="0" borderId="0" applyNumberFormat="0" applyFill="0" applyBorder="0" applyAlignment="0" applyProtection="0"/>
    <xf numFmtId="0" fontId="1" fillId="23" borderId="8" applyNumberFormat="0" applyFont="0" applyAlignment="0" applyProtection="0"/>
    <xf numFmtId="0" fontId="23" fillId="0" borderId="9" applyNumberFormat="0" applyFill="0" applyAlignment="0" applyProtection="0"/>
    <xf numFmtId="0" fontId="24" fillId="0" borderId="0" applyNumberFormat="0" applyFill="0" applyBorder="0" applyAlignment="0" applyProtection="0"/>
    <xf numFmtId="0" fontId="25" fillId="4" borderId="0" applyNumberFormat="0" applyBorder="0" applyAlignment="0" applyProtection="0"/>
    <xf numFmtId="0" fontId="27" fillId="0" borderId="0"/>
    <xf numFmtId="0" fontId="31" fillId="0" borderId="0" applyNumberFormat="0" applyFill="0" applyBorder="0" applyAlignment="0" applyProtection="0">
      <alignment vertical="top"/>
    </xf>
    <xf numFmtId="0" fontId="1" fillId="0" borderId="0" applyNumberFormat="0" applyFont="0" applyFill="0" applyBorder="0" applyAlignment="0" applyProtection="0">
      <alignment vertical="top"/>
    </xf>
    <xf numFmtId="0" fontId="1" fillId="0" borderId="0" applyNumberFormat="0" applyFont="0" applyFill="0" applyBorder="0" applyAlignment="0" applyProtection="0">
      <alignment vertical="top"/>
    </xf>
    <xf numFmtId="0" fontId="43" fillId="0" borderId="0"/>
  </cellStyleXfs>
  <cellXfs count="725">
    <xf numFmtId="0" fontId="0" fillId="0" borderId="0" xfId="0" applyNumberFormat="1" applyFont="1" applyFill="1" applyBorder="1" applyAlignment="1" applyProtection="1">
      <alignment vertical="top"/>
    </xf>
    <xf numFmtId="0" fontId="5" fillId="0" borderId="0" xfId="0" applyNumberFormat="1" applyFont="1" applyFill="1" applyBorder="1" applyAlignment="1" applyProtection="1">
      <alignment vertical="top"/>
    </xf>
    <xf numFmtId="0" fontId="5" fillId="0" borderId="0" xfId="0" applyNumberFormat="1" applyFont="1" applyFill="1" applyBorder="1" applyAlignment="1" applyProtection="1">
      <alignment horizontal="center" vertical="top"/>
    </xf>
    <xf numFmtId="0" fontId="4" fillId="0" borderId="10" xfId="0" applyNumberFormat="1" applyFont="1" applyFill="1" applyBorder="1" applyAlignment="1" applyProtection="1">
      <alignment vertical="top"/>
    </xf>
    <xf numFmtId="0" fontId="4" fillId="0" borderId="10" xfId="0" applyNumberFormat="1" applyFont="1" applyFill="1" applyBorder="1" applyAlignment="1" applyProtection="1">
      <alignment vertical="top" wrapText="1"/>
    </xf>
    <xf numFmtId="0" fontId="4" fillId="0" borderId="0" xfId="36" applyNumberFormat="1" applyFont="1" applyFill="1" applyBorder="1" applyAlignment="1" applyProtection="1">
      <alignment vertical="top"/>
    </xf>
    <xf numFmtId="0" fontId="7" fillId="0" borderId="13" xfId="0" applyNumberFormat="1" applyFont="1" applyFill="1" applyBorder="1" applyAlignment="1" applyProtection="1">
      <alignment horizontal="center" vertical="center"/>
    </xf>
    <xf numFmtId="0" fontId="7" fillId="0" borderId="28" xfId="0" applyNumberFormat="1" applyFont="1" applyFill="1" applyBorder="1" applyAlignment="1" applyProtection="1">
      <alignment horizontal="center" vertical="center" wrapText="1"/>
    </xf>
    <xf numFmtId="0" fontId="7" fillId="0" borderId="34" xfId="0" applyNumberFormat="1" applyFont="1" applyFill="1" applyBorder="1" applyAlignment="1" applyProtection="1">
      <alignment horizontal="center" vertical="center" wrapText="1"/>
    </xf>
    <xf numFmtId="0" fontId="7" fillId="0" borderId="33" xfId="0" applyNumberFormat="1" applyFont="1" applyFill="1" applyBorder="1" applyAlignment="1" applyProtection="1">
      <alignment horizontal="center"/>
    </xf>
    <xf numFmtId="0" fontId="7" fillId="24" borderId="13" xfId="0" applyNumberFormat="1" applyFont="1" applyFill="1" applyBorder="1" applyAlignment="1" applyProtection="1">
      <alignment horizontal="center" vertical="center"/>
    </xf>
    <xf numFmtId="0" fontId="7" fillId="24" borderId="13" xfId="0" applyNumberFormat="1" applyFont="1" applyFill="1" applyBorder="1" applyAlignment="1" applyProtection="1">
      <alignment horizontal="center" vertical="center" wrapText="1"/>
    </xf>
    <xf numFmtId="0" fontId="7" fillId="24" borderId="33" xfId="0" applyNumberFormat="1" applyFont="1" applyFill="1" applyBorder="1" applyAlignment="1" applyProtection="1">
      <alignment horizontal="center" vertical="center"/>
    </xf>
    <xf numFmtId="0" fontId="7" fillId="24" borderId="33" xfId="0" applyNumberFormat="1" applyFont="1" applyFill="1" applyBorder="1" applyAlignment="1" applyProtection="1">
      <alignment horizontal="center" vertical="center" wrapText="1"/>
    </xf>
    <xf numFmtId="0" fontId="7" fillId="0" borderId="13" xfId="0" applyFont="1" applyFill="1" applyBorder="1" applyAlignment="1">
      <alignment horizontal="center"/>
    </xf>
    <xf numFmtId="0" fontId="7" fillId="0" borderId="33" xfId="0" applyNumberFormat="1" applyFont="1" applyFill="1" applyBorder="1" applyAlignment="1" applyProtection="1">
      <alignment horizontal="center" vertical="top"/>
    </xf>
    <xf numFmtId="0" fontId="7" fillId="0" borderId="13" xfId="0" applyNumberFormat="1" applyFont="1" applyFill="1" applyBorder="1" applyAlignment="1" applyProtection="1">
      <alignment horizontal="center" vertical="top"/>
    </xf>
    <xf numFmtId="0" fontId="7" fillId="0" borderId="13" xfId="0" applyFont="1" applyFill="1" applyBorder="1" applyAlignment="1">
      <alignment horizontal="center" vertical="center"/>
    </xf>
    <xf numFmtId="0" fontId="7" fillId="0" borderId="13" xfId="0" applyNumberFormat="1" applyFont="1" applyFill="1" applyBorder="1" applyAlignment="1" applyProtection="1">
      <alignment horizontal="center" vertical="center" wrapText="1"/>
    </xf>
    <xf numFmtId="0" fontId="7" fillId="0" borderId="33" xfId="0" applyFont="1" applyFill="1" applyBorder="1" applyAlignment="1">
      <alignment horizontal="center"/>
    </xf>
    <xf numFmtId="0" fontId="7" fillId="24" borderId="22" xfId="0" applyNumberFormat="1" applyFont="1" applyFill="1" applyBorder="1" applyAlignment="1" applyProtection="1">
      <alignment horizontal="center" vertical="center"/>
    </xf>
    <xf numFmtId="0" fontId="8" fillId="0" borderId="45" xfId="0" applyNumberFormat="1" applyFont="1" applyFill="1" applyBorder="1" applyAlignment="1" applyProtection="1">
      <alignment horizontal="center" vertical="top"/>
    </xf>
    <xf numFmtId="0" fontId="5" fillId="0" borderId="43" xfId="0" applyNumberFormat="1" applyFont="1" applyFill="1" applyBorder="1" applyAlignment="1" applyProtection="1">
      <alignment vertical="top"/>
    </xf>
    <xf numFmtId="0" fontId="7" fillId="24" borderId="13" xfId="0" applyFont="1" applyFill="1" applyBorder="1" applyAlignment="1">
      <alignment horizontal="center"/>
    </xf>
    <xf numFmtId="0" fontId="7" fillId="24" borderId="13" xfId="0" applyNumberFormat="1" applyFont="1" applyFill="1" applyBorder="1" applyAlignment="1" applyProtection="1">
      <alignment horizontal="center" vertical="top"/>
    </xf>
    <xf numFmtId="0" fontId="7" fillId="24" borderId="33" xfId="0" applyNumberFormat="1" applyFont="1" applyFill="1" applyBorder="1" applyAlignment="1" applyProtection="1">
      <alignment horizontal="center"/>
    </xf>
    <xf numFmtId="0" fontId="4" fillId="24" borderId="42" xfId="0" applyNumberFormat="1" applyFont="1" applyFill="1" applyBorder="1" applyAlignment="1" applyProtection="1">
      <alignment horizontal="center" vertical="top"/>
    </xf>
    <xf numFmtId="0" fontId="5" fillId="24" borderId="0" xfId="0" applyNumberFormat="1" applyFont="1" applyFill="1" applyBorder="1" applyAlignment="1" applyProtection="1">
      <alignment vertical="top"/>
    </xf>
    <xf numFmtId="0" fontId="4" fillId="24" borderId="29" xfId="0" applyNumberFormat="1" applyFont="1" applyFill="1" applyBorder="1" applyAlignment="1" applyProtection="1">
      <alignment horizontal="center" vertical="top"/>
    </xf>
    <xf numFmtId="0" fontId="7" fillId="24" borderId="0" xfId="0" applyNumberFormat="1" applyFont="1" applyFill="1" applyBorder="1" applyAlignment="1" applyProtection="1">
      <alignment vertical="top" wrapText="1"/>
    </xf>
    <xf numFmtId="0" fontId="4" fillId="24" borderId="0" xfId="0" applyNumberFormat="1" applyFont="1" applyFill="1" applyBorder="1" applyAlignment="1" applyProtection="1">
      <alignment horizontal="center" vertical="top"/>
    </xf>
    <xf numFmtId="0" fontId="4" fillId="24" borderId="0" xfId="0" applyNumberFormat="1" applyFont="1" applyFill="1" applyBorder="1" applyAlignment="1" applyProtection="1">
      <alignment vertical="top"/>
    </xf>
    <xf numFmtId="0" fontId="5" fillId="24" borderId="43" xfId="0" applyNumberFormat="1" applyFont="1" applyFill="1" applyBorder="1" applyAlignment="1" applyProtection="1">
      <alignment vertical="top"/>
    </xf>
    <xf numFmtId="0" fontId="5" fillId="24" borderId="43" xfId="0" applyNumberFormat="1" applyFont="1" applyFill="1" applyBorder="1" applyAlignment="1" applyProtection="1">
      <alignment horizontal="center" vertical="top"/>
    </xf>
    <xf numFmtId="0" fontId="4" fillId="24" borderId="43" xfId="0" applyNumberFormat="1" applyFont="1" applyFill="1" applyBorder="1" applyAlignment="1" applyProtection="1">
      <alignment horizontal="center" vertical="top"/>
    </xf>
    <xf numFmtId="0" fontId="5" fillId="24" borderId="46" xfId="0" applyNumberFormat="1" applyFont="1" applyFill="1" applyBorder="1" applyAlignment="1" applyProtection="1">
      <alignment horizontal="center" vertical="top"/>
    </xf>
    <xf numFmtId="0" fontId="5" fillId="24" borderId="0" xfId="0" applyNumberFormat="1" applyFont="1" applyFill="1" applyBorder="1" applyAlignment="1" applyProtection="1">
      <alignment horizontal="center" vertical="top"/>
    </xf>
    <xf numFmtId="0" fontId="8" fillId="25" borderId="37" xfId="0" applyNumberFormat="1" applyFont="1" applyFill="1" applyBorder="1" applyAlignment="1" applyProtection="1">
      <alignment horizontal="center" vertical="center"/>
    </xf>
    <xf numFmtId="0" fontId="7" fillId="25" borderId="37" xfId="0" applyNumberFormat="1" applyFont="1" applyFill="1" applyBorder="1" applyAlignment="1" applyProtection="1">
      <alignment horizontal="center" vertical="center"/>
    </xf>
    <xf numFmtId="0" fontId="7" fillId="24" borderId="12" xfId="0" applyNumberFormat="1" applyFont="1" applyFill="1" applyBorder="1" applyAlignment="1" applyProtection="1">
      <alignment horizontal="center" vertical="center"/>
    </xf>
    <xf numFmtId="0" fontId="7" fillId="0" borderId="33" xfId="0" applyNumberFormat="1" applyFont="1" applyFill="1" applyBorder="1" applyAlignment="1" applyProtection="1">
      <alignment horizontal="center" vertical="center"/>
    </xf>
    <xf numFmtId="0" fontId="8" fillId="26" borderId="37" xfId="0" applyNumberFormat="1" applyFont="1" applyFill="1" applyBorder="1" applyAlignment="1" applyProtection="1">
      <alignment horizontal="center" vertical="center"/>
    </xf>
    <xf numFmtId="0" fontId="7" fillId="24" borderId="26" xfId="0" applyNumberFormat="1" applyFont="1" applyFill="1" applyBorder="1" applyAlignment="1" applyProtection="1">
      <alignment horizontal="center" vertical="center"/>
    </xf>
    <xf numFmtId="0" fontId="7" fillId="0" borderId="26" xfId="0" applyNumberFormat="1" applyFont="1" applyFill="1" applyBorder="1" applyAlignment="1" applyProtection="1">
      <alignment horizontal="center" vertical="center"/>
    </xf>
    <xf numFmtId="0" fontId="8" fillId="26" borderId="37" xfId="0" applyNumberFormat="1" applyFont="1" applyFill="1" applyBorder="1" applyAlignment="1" applyProtection="1">
      <alignment horizontal="center" vertical="center" wrapText="1"/>
    </xf>
    <xf numFmtId="0" fontId="7" fillId="0" borderId="22" xfId="0" applyNumberFormat="1" applyFont="1" applyFill="1" applyBorder="1" applyAlignment="1" applyProtection="1">
      <alignment horizontal="center" vertical="center"/>
    </xf>
    <xf numFmtId="0" fontId="7" fillId="0" borderId="33" xfId="0" applyNumberFormat="1" applyFont="1" applyFill="1" applyBorder="1" applyAlignment="1" applyProtection="1">
      <alignment horizontal="center" vertical="center" wrapText="1"/>
    </xf>
    <xf numFmtId="0" fontId="8" fillId="26" borderId="53" xfId="0" applyNumberFormat="1" applyFont="1" applyFill="1" applyBorder="1" applyAlignment="1" applyProtection="1">
      <alignment horizontal="center" vertical="center"/>
    </xf>
    <xf numFmtId="0" fontId="8" fillId="26" borderId="60" xfId="0" applyNumberFormat="1" applyFont="1" applyFill="1" applyBorder="1" applyAlignment="1" applyProtection="1">
      <alignment horizontal="center" vertical="center"/>
    </xf>
    <xf numFmtId="0" fontId="7" fillId="0" borderId="28" xfId="0" applyNumberFormat="1" applyFont="1" applyFill="1" applyBorder="1" applyAlignment="1" applyProtection="1">
      <alignment horizontal="center" vertical="center"/>
    </xf>
    <xf numFmtId="0" fontId="7" fillId="0" borderId="14" xfId="0" applyNumberFormat="1" applyFont="1" applyFill="1" applyBorder="1" applyAlignment="1" applyProtection="1">
      <alignment horizontal="center" vertical="center"/>
    </xf>
    <xf numFmtId="0" fontId="7" fillId="24" borderId="29" xfId="0" applyNumberFormat="1" applyFont="1" applyFill="1" applyBorder="1" applyAlignment="1" applyProtection="1">
      <alignment horizontal="center" vertical="center"/>
    </xf>
    <xf numFmtId="0" fontId="7" fillId="24" borderId="28" xfId="0" applyNumberFormat="1" applyFont="1" applyFill="1" applyBorder="1" applyAlignment="1" applyProtection="1">
      <alignment horizontal="center" vertical="center"/>
    </xf>
    <xf numFmtId="0" fontId="8" fillId="26" borderId="61" xfId="0" applyNumberFormat="1" applyFont="1" applyFill="1" applyBorder="1" applyAlignment="1" applyProtection="1">
      <alignment horizontal="center" vertical="top"/>
    </xf>
    <xf numFmtId="0" fontId="8" fillId="26" borderId="58" xfId="0" applyNumberFormat="1" applyFont="1" applyFill="1" applyBorder="1" applyAlignment="1" applyProtection="1">
      <alignment horizontal="left" vertical="top" wrapText="1"/>
    </xf>
    <xf numFmtId="0" fontId="8" fillId="26" borderId="59" xfId="0" applyNumberFormat="1" applyFont="1" applyFill="1" applyBorder="1" applyAlignment="1" applyProtection="1">
      <alignment horizontal="center" vertical="center" wrapText="1"/>
    </xf>
    <xf numFmtId="0" fontId="8" fillId="26" borderId="60" xfId="0" applyNumberFormat="1" applyFont="1" applyFill="1" applyBorder="1" applyAlignment="1" applyProtection="1">
      <alignment horizontal="center" vertical="center" wrapText="1"/>
    </xf>
    <xf numFmtId="0" fontId="7" fillId="0" borderId="34" xfId="0" applyNumberFormat="1" applyFont="1" applyFill="1" applyBorder="1" applyAlignment="1" applyProtection="1">
      <alignment horizontal="center" vertical="top"/>
    </xf>
    <xf numFmtId="0" fontId="7" fillId="0" borderId="27" xfId="0" applyNumberFormat="1" applyFont="1" applyFill="1" applyBorder="1" applyAlignment="1" applyProtection="1">
      <alignment horizontal="left" vertical="top"/>
    </xf>
    <xf numFmtId="0" fontId="7" fillId="0" borderId="39" xfId="0" applyNumberFormat="1" applyFont="1" applyFill="1" applyBorder="1" applyAlignment="1" applyProtection="1">
      <alignment horizontal="center" vertical="center"/>
    </xf>
    <xf numFmtId="0" fontId="7" fillId="0" borderId="63" xfId="0" applyNumberFormat="1" applyFont="1" applyFill="1" applyBorder="1" applyAlignment="1" applyProtection="1">
      <alignment horizontal="center" vertical="center"/>
    </xf>
    <xf numFmtId="0" fontId="7" fillId="0" borderId="11" xfId="0" applyNumberFormat="1" applyFont="1" applyFill="1" applyBorder="1" applyAlignment="1" applyProtection="1">
      <alignment horizontal="center" vertical="top"/>
    </xf>
    <xf numFmtId="0" fontId="7" fillId="0" borderId="55" xfId="0" applyNumberFormat="1" applyFont="1" applyFill="1" applyBorder="1" applyAlignment="1" applyProtection="1">
      <alignment horizontal="left" vertical="top"/>
    </xf>
    <xf numFmtId="0" fontId="7" fillId="0" borderId="15" xfId="0" applyNumberFormat="1" applyFont="1" applyFill="1" applyBorder="1" applyAlignment="1" applyProtection="1">
      <alignment horizontal="center" vertical="center"/>
    </xf>
    <xf numFmtId="0" fontId="7" fillId="0" borderId="35" xfId="0" applyNumberFormat="1" applyFont="1" applyFill="1" applyBorder="1" applyAlignment="1" applyProtection="1">
      <alignment horizontal="center" vertical="center"/>
    </xf>
    <xf numFmtId="0" fontId="7" fillId="0" borderId="55" xfId="0" applyNumberFormat="1" applyFont="1" applyFill="1" applyBorder="1" applyAlignment="1" applyProtection="1">
      <alignment horizontal="left" vertical="center" wrapText="1"/>
    </xf>
    <xf numFmtId="0" fontId="8" fillId="0" borderId="15" xfId="0" applyNumberFormat="1" applyFont="1" applyFill="1" applyBorder="1" applyAlignment="1" applyProtection="1">
      <alignment horizontal="center" vertical="center"/>
    </xf>
    <xf numFmtId="0" fontId="7" fillId="0" borderId="55" xfId="0" applyNumberFormat="1" applyFont="1" applyFill="1" applyBorder="1" applyAlignment="1" applyProtection="1">
      <alignment horizontal="left" vertical="top" wrapText="1"/>
    </xf>
    <xf numFmtId="0" fontId="8" fillId="26" borderId="59" xfId="0" applyNumberFormat="1" applyFont="1" applyFill="1" applyBorder="1" applyAlignment="1" applyProtection="1">
      <alignment horizontal="center" vertical="center"/>
    </xf>
    <xf numFmtId="0" fontId="7" fillId="24" borderId="39" xfId="0" applyNumberFormat="1" applyFont="1" applyFill="1" applyBorder="1" applyAlignment="1" applyProtection="1">
      <alignment horizontal="center" vertical="center"/>
    </xf>
    <xf numFmtId="0" fontId="7" fillId="24" borderId="14" xfId="0" applyNumberFormat="1" applyFont="1" applyFill="1" applyBorder="1" applyAlignment="1" applyProtection="1">
      <alignment horizontal="center" vertical="center"/>
    </xf>
    <xf numFmtId="0" fontId="7" fillId="24" borderId="64" xfId="0" applyNumberFormat="1" applyFont="1" applyFill="1" applyBorder="1" applyAlignment="1" applyProtection="1">
      <alignment horizontal="center" vertical="center"/>
    </xf>
    <xf numFmtId="0" fontId="7" fillId="24" borderId="50" xfId="0" applyNumberFormat="1" applyFont="1" applyFill="1" applyBorder="1" applyAlignment="1" applyProtection="1">
      <alignment horizontal="center" vertical="center"/>
    </xf>
    <xf numFmtId="0" fontId="8" fillId="0" borderId="12" xfId="0" applyNumberFormat="1" applyFont="1" applyFill="1" applyBorder="1" applyAlignment="1" applyProtection="1">
      <alignment horizontal="center" vertical="center"/>
    </xf>
    <xf numFmtId="0" fontId="8" fillId="0" borderId="13" xfId="0" applyNumberFormat="1" applyFont="1" applyFill="1" applyBorder="1" applyAlignment="1" applyProtection="1">
      <alignment horizontal="center" vertical="center"/>
    </xf>
    <xf numFmtId="0" fontId="8" fillId="26" borderId="58" xfId="0" applyNumberFormat="1" applyFont="1" applyFill="1" applyBorder="1" applyAlignment="1" applyProtection="1">
      <alignment horizontal="left" vertical="top"/>
    </xf>
    <xf numFmtId="0" fontId="7" fillId="24" borderId="82" xfId="0" applyNumberFormat="1" applyFont="1" applyFill="1" applyBorder="1" applyAlignment="1" applyProtection="1">
      <alignment horizontal="left" vertical="top"/>
    </xf>
    <xf numFmtId="0" fontId="7" fillId="24" borderId="82" xfId="0" applyNumberFormat="1" applyFont="1" applyFill="1" applyBorder="1" applyAlignment="1" applyProtection="1">
      <alignment horizontal="left" vertical="top" wrapText="1"/>
    </xf>
    <xf numFmtId="0" fontId="7" fillId="0" borderId="38" xfId="0" applyNumberFormat="1" applyFont="1" applyFill="1" applyBorder="1" applyAlignment="1" applyProtection="1">
      <alignment horizontal="center" vertical="center"/>
    </xf>
    <xf numFmtId="0" fontId="7" fillId="24" borderId="83" xfId="0" applyNumberFormat="1" applyFont="1" applyFill="1" applyBorder="1" applyAlignment="1" applyProtection="1">
      <alignment horizontal="left" vertical="top"/>
    </xf>
    <xf numFmtId="0" fontId="7" fillId="24" borderId="34" xfId="0" applyNumberFormat="1" applyFont="1" applyFill="1" applyBorder="1" applyAlignment="1" applyProtection="1">
      <alignment horizontal="center" vertical="center"/>
    </xf>
    <xf numFmtId="0" fontId="7" fillId="0" borderId="34" xfId="0" applyNumberFormat="1" applyFont="1" applyFill="1" applyBorder="1" applyAlignment="1" applyProtection="1">
      <alignment horizontal="center" vertical="center"/>
    </xf>
    <xf numFmtId="0" fontId="7" fillId="24" borderId="11" xfId="0" applyNumberFormat="1" applyFont="1" applyFill="1" applyBorder="1" applyAlignment="1" applyProtection="1">
      <alignment horizontal="center" vertical="center"/>
    </xf>
    <xf numFmtId="0" fontId="7" fillId="24" borderId="75" xfId="0" applyNumberFormat="1" applyFont="1" applyFill="1" applyBorder="1" applyAlignment="1" applyProtection="1">
      <alignment horizontal="center" vertical="center"/>
    </xf>
    <xf numFmtId="0" fontId="8" fillId="25" borderId="79" xfId="0" applyNumberFormat="1" applyFont="1" applyFill="1" applyBorder="1" applyAlignment="1" applyProtection="1">
      <alignment horizontal="left" vertical="center" wrapText="1"/>
    </xf>
    <xf numFmtId="0" fontId="7" fillId="0" borderId="75" xfId="0" applyNumberFormat="1" applyFont="1" applyFill="1" applyBorder="1" applyAlignment="1" applyProtection="1">
      <alignment horizontal="center" vertical="top"/>
    </xf>
    <xf numFmtId="0" fontId="8" fillId="26" borderId="79" xfId="0" applyNumberFormat="1" applyFont="1" applyFill="1" applyBorder="1" applyAlignment="1" applyProtection="1">
      <alignment horizontal="left" vertical="top"/>
    </xf>
    <xf numFmtId="0" fontId="8" fillId="26" borderId="53" xfId="0" applyNumberFormat="1" applyFont="1" applyFill="1" applyBorder="1" applyAlignment="1" applyProtection="1">
      <alignment horizontal="left" vertical="top" wrapText="1"/>
    </xf>
    <xf numFmtId="0" fontId="8" fillId="26" borderId="57" xfId="0" applyNumberFormat="1" applyFont="1" applyFill="1" applyBorder="1" applyAlignment="1" applyProtection="1">
      <alignment horizontal="center" vertical="top"/>
    </xf>
    <xf numFmtId="0" fontId="7" fillId="0" borderId="11" xfId="0" applyNumberFormat="1" applyFont="1" applyFill="1" applyBorder="1" applyAlignment="1" applyProtection="1">
      <alignment horizontal="center" vertical="center"/>
    </xf>
    <xf numFmtId="0" fontId="7" fillId="0" borderId="75" xfId="0" applyNumberFormat="1" applyFont="1" applyFill="1" applyBorder="1" applyAlignment="1" applyProtection="1">
      <alignment horizontal="center" vertical="center"/>
    </xf>
    <xf numFmtId="0" fontId="7" fillId="0" borderId="82" xfId="0" applyNumberFormat="1" applyFont="1" applyFill="1" applyBorder="1" applyAlignment="1" applyProtection="1">
      <alignment horizontal="center" vertical="center"/>
    </xf>
    <xf numFmtId="0" fontId="7" fillId="0" borderId="83" xfId="0" applyNumberFormat="1" applyFont="1" applyFill="1" applyBorder="1" applyAlignment="1" applyProtection="1">
      <alignment horizontal="center" vertical="center"/>
    </xf>
    <xf numFmtId="0" fontId="8" fillId="25" borderId="61" xfId="0" applyNumberFormat="1" applyFont="1" applyFill="1" applyBorder="1" applyAlignment="1" applyProtection="1">
      <alignment horizontal="center" vertical="center"/>
    </xf>
    <xf numFmtId="0" fontId="7" fillId="24" borderId="28" xfId="0" applyNumberFormat="1" applyFont="1" applyFill="1" applyBorder="1" applyAlignment="1" applyProtection="1">
      <alignment horizontal="center" vertical="center" wrapText="1"/>
    </xf>
    <xf numFmtId="0" fontId="7" fillId="24" borderId="38" xfId="0" applyNumberFormat="1" applyFont="1" applyFill="1" applyBorder="1" applyAlignment="1" applyProtection="1">
      <alignment horizontal="center" vertical="center" wrapText="1"/>
    </xf>
    <xf numFmtId="0" fontId="7" fillId="24" borderId="56" xfId="0" applyNumberFormat="1" applyFont="1" applyFill="1" applyBorder="1" applyAlignment="1" applyProtection="1">
      <alignment horizontal="center" vertical="center"/>
    </xf>
    <xf numFmtId="0" fontId="7" fillId="25" borderId="53" xfId="0" applyNumberFormat="1" applyFont="1" applyFill="1" applyBorder="1" applyAlignment="1" applyProtection="1">
      <alignment horizontal="center" vertical="center"/>
    </xf>
    <xf numFmtId="0" fontId="7" fillId="24" borderId="38" xfId="0" applyNumberFormat="1" applyFont="1" applyFill="1" applyBorder="1" applyAlignment="1" applyProtection="1">
      <alignment horizontal="center" vertical="center"/>
    </xf>
    <xf numFmtId="0" fontId="7" fillId="24" borderId="85" xfId="0" applyNumberFormat="1" applyFont="1" applyFill="1" applyBorder="1" applyAlignment="1" applyProtection="1"/>
    <xf numFmtId="0" fontId="7" fillId="0" borderId="11" xfId="0" applyNumberFormat="1" applyFont="1" applyFill="1" applyBorder="1" applyAlignment="1" applyProtection="1">
      <alignment horizontal="center" vertical="center" wrapText="1"/>
    </xf>
    <xf numFmtId="0" fontId="7" fillId="24" borderId="34" xfId="0" applyNumberFormat="1" applyFont="1" applyFill="1" applyBorder="1" applyAlignment="1" applyProtection="1">
      <alignment horizontal="center" vertical="center" wrapText="1"/>
    </xf>
    <xf numFmtId="0" fontId="7" fillId="24" borderId="34" xfId="0" applyNumberFormat="1" applyFont="1" applyFill="1" applyBorder="1" applyAlignment="1" applyProtection="1">
      <alignment horizontal="center"/>
    </xf>
    <xf numFmtId="0" fontId="7" fillId="24" borderId="21" xfId="0" applyNumberFormat="1" applyFont="1" applyFill="1" applyBorder="1" applyAlignment="1" applyProtection="1">
      <alignment horizontal="center" vertical="center"/>
    </xf>
    <xf numFmtId="0" fontId="7" fillId="0" borderId="14" xfId="0" applyNumberFormat="1" applyFont="1" applyFill="1" applyBorder="1" applyAlignment="1" applyProtection="1">
      <alignment horizontal="center" vertical="center" wrapText="1"/>
    </xf>
    <xf numFmtId="0" fontId="7" fillId="0" borderId="35" xfId="0" applyNumberFormat="1" applyFont="1" applyFill="1" applyBorder="1" applyAlignment="1" applyProtection="1">
      <alignment horizontal="center" vertical="center" wrapText="1"/>
    </xf>
    <xf numFmtId="0" fontId="7" fillId="24" borderId="35" xfId="0" applyNumberFormat="1" applyFont="1" applyFill="1" applyBorder="1" applyAlignment="1" applyProtection="1">
      <alignment horizontal="center" vertical="center" wrapText="1"/>
    </xf>
    <xf numFmtId="0" fontId="7" fillId="24" borderId="17" xfId="0" applyNumberFormat="1" applyFont="1" applyFill="1" applyBorder="1" applyAlignment="1" applyProtection="1">
      <alignment horizontal="center" vertical="center"/>
    </xf>
    <xf numFmtId="0" fontId="7" fillId="25" borderId="61" xfId="0" applyNumberFormat="1" applyFont="1" applyFill="1" applyBorder="1" applyAlignment="1" applyProtection="1">
      <alignment horizontal="center" vertical="center"/>
    </xf>
    <xf numFmtId="0" fontId="7" fillId="0" borderId="28" xfId="0" applyFont="1" applyFill="1" applyBorder="1" applyAlignment="1">
      <alignment horizontal="center"/>
    </xf>
    <xf numFmtId="0" fontId="7" fillId="24" borderId="38" xfId="0" applyNumberFormat="1" applyFont="1" applyFill="1" applyBorder="1" applyAlignment="1" applyProtection="1">
      <alignment horizontal="center" vertical="top"/>
    </xf>
    <xf numFmtId="0" fontId="7" fillId="0" borderId="21" xfId="0" applyNumberFormat="1" applyFont="1" applyFill="1" applyBorder="1" applyAlignment="1" applyProtection="1">
      <alignment horizontal="center" vertical="center"/>
    </xf>
    <xf numFmtId="0" fontId="7" fillId="0" borderId="38" xfId="0" applyFont="1" applyFill="1" applyBorder="1" applyAlignment="1">
      <alignment horizontal="center"/>
    </xf>
    <xf numFmtId="0" fontId="7" fillId="0" borderId="38" xfId="0" applyFont="1" applyFill="1" applyBorder="1" applyAlignment="1">
      <alignment horizontal="center" vertical="center"/>
    </xf>
    <xf numFmtId="0" fontId="7" fillId="24" borderId="38" xfId="0" applyFont="1" applyFill="1" applyBorder="1" applyAlignment="1">
      <alignment horizontal="center"/>
    </xf>
    <xf numFmtId="1" fontId="7" fillId="0" borderId="38" xfId="0" applyNumberFormat="1" applyFont="1" applyFill="1" applyBorder="1" applyAlignment="1" applyProtection="1">
      <alignment horizontal="center" vertical="top"/>
    </xf>
    <xf numFmtId="0" fontId="7" fillId="0" borderId="38" xfId="0" applyNumberFormat="1" applyFont="1" applyFill="1" applyBorder="1" applyAlignment="1" applyProtection="1">
      <alignment horizontal="center" vertical="top"/>
    </xf>
    <xf numFmtId="0" fontId="7" fillId="0" borderId="38" xfId="0" applyNumberFormat="1" applyFont="1" applyFill="1" applyBorder="1" applyAlignment="1" applyProtection="1">
      <alignment vertical="center" wrapText="1"/>
    </xf>
    <xf numFmtId="0" fontId="8" fillId="0" borderId="38" xfId="0" applyNumberFormat="1" applyFont="1" applyFill="1" applyBorder="1" applyAlignment="1" applyProtection="1">
      <alignment horizontal="center" vertical="top" wrapText="1"/>
    </xf>
    <xf numFmtId="0" fontId="7" fillId="0" borderId="17" xfId="0" applyNumberFormat="1" applyFont="1" applyFill="1" applyBorder="1" applyAlignment="1" applyProtection="1">
      <alignment horizontal="center" vertical="center"/>
    </xf>
    <xf numFmtId="0" fontId="7" fillId="0" borderId="12" xfId="0" applyNumberFormat="1" applyFont="1" applyFill="1" applyBorder="1" applyAlignment="1" applyProtection="1">
      <alignment horizontal="center" vertical="center"/>
    </xf>
    <xf numFmtId="0" fontId="7" fillId="24" borderId="18" xfId="0" applyNumberFormat="1" applyFont="1" applyFill="1" applyBorder="1" applyAlignment="1" applyProtection="1">
      <alignment horizontal="center" vertical="center"/>
    </xf>
    <xf numFmtId="0" fontId="8" fillId="24" borderId="33" xfId="0" applyNumberFormat="1" applyFont="1" applyFill="1" applyBorder="1" applyAlignment="1" applyProtection="1">
      <alignment horizontal="center" vertical="center"/>
    </xf>
    <xf numFmtId="0" fontId="7" fillId="0" borderId="17" xfId="0" applyNumberFormat="1" applyFont="1" applyFill="1" applyBorder="1" applyAlignment="1" applyProtection="1">
      <alignment horizontal="center" vertical="center" wrapText="1"/>
    </xf>
    <xf numFmtId="0" fontId="7" fillId="0" borderId="44" xfId="0" applyNumberFormat="1" applyFont="1" applyFill="1" applyBorder="1" applyAlignment="1" applyProtection="1">
      <alignment horizontal="center" vertical="center"/>
    </xf>
    <xf numFmtId="0" fontId="7" fillId="0" borderId="15" xfId="0" applyNumberFormat="1" applyFont="1" applyFill="1" applyBorder="1" applyAlignment="1" applyProtection="1">
      <alignment horizontal="center" vertical="top"/>
    </xf>
    <xf numFmtId="0" fontId="4" fillId="24" borderId="81" xfId="43" applyFont="1" applyFill="1" applyBorder="1" applyAlignment="1">
      <alignment horizontal="center" vertical="center" wrapText="1"/>
    </xf>
    <xf numFmtId="0" fontId="4" fillId="24" borderId="23" xfId="43" applyFont="1" applyFill="1" applyBorder="1" applyAlignment="1">
      <alignment horizontal="center" vertical="center" wrapText="1"/>
    </xf>
    <xf numFmtId="0" fontId="4" fillId="24" borderId="87" xfId="43" applyFont="1" applyFill="1" applyBorder="1" applyAlignment="1">
      <alignment horizontal="center" vertical="center" wrapText="1"/>
    </xf>
    <xf numFmtId="0" fontId="7" fillId="24" borderId="44" xfId="0" applyNumberFormat="1" applyFont="1" applyFill="1" applyBorder="1" applyAlignment="1" applyProtection="1">
      <alignment horizontal="center" vertical="center"/>
    </xf>
    <xf numFmtId="0" fontId="7" fillId="0" borderId="63" xfId="0" applyNumberFormat="1" applyFont="1" applyFill="1" applyBorder="1" applyAlignment="1" applyProtection="1">
      <alignment horizontal="left" vertical="top" wrapText="1"/>
    </xf>
    <xf numFmtId="0" fontId="7" fillId="0" borderId="62" xfId="0" applyNumberFormat="1" applyFont="1" applyFill="1" applyBorder="1" applyAlignment="1" applyProtection="1">
      <alignment vertical="center" wrapText="1"/>
    </xf>
    <xf numFmtId="0" fontId="7" fillId="0" borderId="72" xfId="0" applyNumberFormat="1" applyFont="1" applyFill="1" applyBorder="1" applyAlignment="1" applyProtection="1">
      <alignment vertical="center" wrapText="1"/>
    </xf>
    <xf numFmtId="0" fontId="8" fillId="0" borderId="64" xfId="0" applyNumberFormat="1" applyFont="1" applyFill="1" applyBorder="1" applyAlignment="1" applyProtection="1">
      <alignment horizontal="center" vertical="center"/>
    </xf>
    <xf numFmtId="0" fontId="7" fillId="0" borderId="71" xfId="0" applyNumberFormat="1" applyFont="1" applyFill="1" applyBorder="1" applyAlignment="1" applyProtection="1">
      <alignment vertical="center" wrapText="1"/>
    </xf>
    <xf numFmtId="0" fontId="7" fillId="0" borderId="82" xfId="0" applyNumberFormat="1" applyFont="1" applyFill="1" applyBorder="1" applyAlignment="1" applyProtection="1">
      <alignment vertical="center" wrapText="1"/>
    </xf>
    <xf numFmtId="0" fontId="7" fillId="0" borderId="83" xfId="0" applyNumberFormat="1" applyFont="1" applyFill="1" applyBorder="1" applyAlignment="1" applyProtection="1">
      <alignment vertical="center" wrapText="1"/>
    </xf>
    <xf numFmtId="0" fontId="7" fillId="0" borderId="82" xfId="44" applyNumberFormat="1" applyFont="1" applyFill="1" applyBorder="1" applyAlignment="1" applyProtection="1">
      <alignment vertical="center" wrapText="1"/>
    </xf>
    <xf numFmtId="0" fontId="7" fillId="0" borderId="19" xfId="0" applyNumberFormat="1" applyFont="1" applyFill="1" applyBorder="1" applyAlignment="1" applyProtection="1">
      <alignment horizontal="justify" vertical="center" wrapText="1"/>
    </xf>
    <xf numFmtId="0" fontId="7" fillId="0" borderId="82" xfId="0" applyNumberFormat="1" applyFont="1" applyFill="1" applyBorder="1" applyAlignment="1" applyProtection="1">
      <alignment horizontal="justify" vertical="center" wrapText="1"/>
    </xf>
    <xf numFmtId="0" fontId="7" fillId="24" borderId="15" xfId="0" applyNumberFormat="1" applyFont="1" applyFill="1" applyBorder="1" applyAlignment="1" applyProtection="1">
      <alignment horizontal="center" vertical="center" wrapText="1"/>
    </xf>
    <xf numFmtId="0" fontId="8" fillId="24" borderId="15" xfId="0" applyNumberFormat="1" applyFont="1" applyFill="1" applyBorder="1" applyAlignment="1" applyProtection="1">
      <alignment horizontal="center" vertical="center" wrapText="1"/>
    </xf>
    <xf numFmtId="0" fontId="8" fillId="24" borderId="13" xfId="0" applyNumberFormat="1" applyFont="1" applyFill="1" applyBorder="1" applyAlignment="1" applyProtection="1">
      <alignment horizontal="center" vertical="center"/>
    </xf>
    <xf numFmtId="0" fontId="8" fillId="24" borderId="11" xfId="0" applyNumberFormat="1" applyFont="1" applyFill="1" applyBorder="1" applyAlignment="1" applyProtection="1">
      <alignment horizontal="center" vertical="center"/>
    </xf>
    <xf numFmtId="0" fontId="7" fillId="24" borderId="68" xfId="0" applyNumberFormat="1" applyFont="1" applyFill="1" applyBorder="1" applyAlignment="1" applyProtection="1">
      <alignment horizontal="center" vertical="center" wrapText="1"/>
    </xf>
    <xf numFmtId="0" fontId="7" fillId="24" borderId="14" xfId="0" applyNumberFormat="1" applyFont="1" applyFill="1" applyBorder="1" applyAlignment="1" applyProtection="1">
      <alignment horizontal="center" vertical="center" wrapText="1"/>
    </xf>
    <xf numFmtId="0" fontId="7" fillId="24" borderId="26" xfId="0" applyNumberFormat="1" applyFont="1" applyFill="1" applyBorder="1" applyAlignment="1" applyProtection="1">
      <alignment horizontal="center" vertical="center" wrapText="1"/>
    </xf>
    <xf numFmtId="0" fontId="8" fillId="24" borderId="34" xfId="0" applyNumberFormat="1" applyFont="1" applyFill="1" applyBorder="1" applyAlignment="1" applyProtection="1">
      <alignment horizontal="center" vertical="center"/>
    </xf>
    <xf numFmtId="0" fontId="7" fillId="0" borderId="18" xfId="0" applyNumberFormat="1" applyFont="1" applyFill="1" applyBorder="1" applyAlignment="1" applyProtection="1">
      <alignment horizontal="center" vertical="center"/>
    </xf>
    <xf numFmtId="0" fontId="8" fillId="24" borderId="28" xfId="0" applyNumberFormat="1" applyFont="1" applyFill="1" applyBorder="1" applyAlignment="1" applyProtection="1">
      <alignment horizontal="center" vertical="center" wrapText="1"/>
    </xf>
    <xf numFmtId="0" fontId="7" fillId="24" borderId="44" xfId="0" applyNumberFormat="1" applyFont="1" applyFill="1" applyBorder="1" applyAlignment="1" applyProtection="1">
      <alignment horizontal="center" vertical="center" wrapText="1"/>
    </xf>
    <xf numFmtId="0" fontId="8" fillId="26" borderId="66" xfId="0" applyNumberFormat="1" applyFont="1" applyFill="1" applyBorder="1" applyAlignment="1" applyProtection="1">
      <alignment horizontal="center" vertical="center"/>
    </xf>
    <xf numFmtId="0" fontId="8" fillId="26" borderId="40" xfId="0" applyNumberFormat="1" applyFont="1" applyFill="1" applyBorder="1" applyAlignment="1" applyProtection="1">
      <alignment horizontal="center" vertical="center"/>
    </xf>
    <xf numFmtId="0" fontId="8" fillId="26" borderId="10" xfId="0" applyNumberFormat="1" applyFont="1" applyFill="1" applyBorder="1" applyAlignment="1" applyProtection="1">
      <alignment horizontal="center" vertical="center"/>
    </xf>
    <xf numFmtId="0" fontId="7" fillId="0" borderId="77" xfId="0" applyNumberFormat="1" applyFont="1" applyFill="1" applyBorder="1" applyAlignment="1" applyProtection="1">
      <alignment horizontal="center" vertical="center"/>
    </xf>
    <xf numFmtId="0" fontId="7" fillId="0" borderId="85" xfId="0" applyNumberFormat="1" applyFont="1" applyFill="1" applyBorder="1" applyAlignment="1" applyProtection="1">
      <alignment horizontal="center" vertical="center"/>
    </xf>
    <xf numFmtId="0" fontId="7" fillId="0" borderId="35" xfId="0" applyFont="1" applyFill="1" applyBorder="1" applyAlignment="1">
      <alignment horizontal="center"/>
    </xf>
    <xf numFmtId="0" fontId="7" fillId="0" borderId="21" xfId="0" applyNumberFormat="1" applyFont="1" applyFill="1" applyBorder="1" applyAlignment="1" applyProtection="1">
      <alignment horizontal="center" vertical="top"/>
    </xf>
    <xf numFmtId="0" fontId="8" fillId="0" borderId="26" xfId="0" applyNumberFormat="1" applyFont="1" applyFill="1" applyBorder="1" applyAlignment="1" applyProtection="1">
      <alignment horizontal="center" vertical="center"/>
    </xf>
    <xf numFmtId="0" fontId="7" fillId="0" borderId="37" xfId="0" applyNumberFormat="1" applyFont="1" applyFill="1" applyBorder="1" applyAlignment="1" applyProtection="1">
      <alignment horizontal="center" vertical="center"/>
    </xf>
    <xf numFmtId="0" fontId="8" fillId="0" borderId="33" xfId="0" applyNumberFormat="1" applyFont="1" applyFill="1" applyBorder="1" applyAlignment="1" applyProtection="1">
      <alignment horizontal="center" vertical="center"/>
    </xf>
    <xf numFmtId="0" fontId="28" fillId="0" borderId="13" xfId="0" applyNumberFormat="1" applyFont="1" applyFill="1" applyBorder="1" applyAlignment="1" applyProtection="1">
      <alignment horizontal="center" vertical="center"/>
    </xf>
    <xf numFmtId="0" fontId="7" fillId="0" borderId="16" xfId="0" applyNumberFormat="1" applyFont="1" applyFill="1" applyBorder="1" applyAlignment="1" applyProtection="1">
      <alignment horizontal="center" vertical="top"/>
    </xf>
    <xf numFmtId="0" fontId="7" fillId="0" borderId="18" xfId="0" applyNumberFormat="1" applyFont="1" applyFill="1" applyBorder="1" applyAlignment="1" applyProtection="1">
      <alignment horizontal="center" vertical="top"/>
    </xf>
    <xf numFmtId="0" fontId="7" fillId="0" borderId="17" xfId="0" applyNumberFormat="1" applyFont="1" applyFill="1" applyBorder="1" applyAlignment="1" applyProtection="1">
      <alignment horizontal="center" vertical="top"/>
    </xf>
    <xf numFmtId="0" fontId="7" fillId="0" borderId="13" xfId="0" applyNumberFormat="1" applyFont="1" applyFill="1" applyBorder="1" applyAlignment="1" applyProtection="1">
      <alignment horizontal="center"/>
    </xf>
    <xf numFmtId="0" fontId="7" fillId="0" borderId="56" xfId="0" applyNumberFormat="1" applyFont="1" applyFill="1" applyBorder="1" applyAlignment="1" applyProtection="1">
      <alignment horizontal="center" vertical="top"/>
    </xf>
    <xf numFmtId="0" fontId="7" fillId="0" borderId="22" xfId="0" applyNumberFormat="1" applyFont="1" applyFill="1" applyBorder="1" applyAlignment="1" applyProtection="1">
      <alignment horizontal="center" vertical="top"/>
    </xf>
    <xf numFmtId="0" fontId="8" fillId="27" borderId="57" xfId="0" applyNumberFormat="1" applyFont="1" applyFill="1" applyBorder="1" applyAlignment="1" applyProtection="1">
      <alignment horizontal="center" vertical="center"/>
    </xf>
    <xf numFmtId="0" fontId="7" fillId="27" borderId="63" xfId="0" applyNumberFormat="1" applyFont="1" applyFill="1" applyBorder="1" applyAlignment="1" applyProtection="1">
      <alignment horizontal="center" vertical="center"/>
    </xf>
    <xf numFmtId="0" fontId="7" fillId="27" borderId="84" xfId="0" applyNumberFormat="1" applyFont="1" applyFill="1" applyBorder="1" applyAlignment="1" applyProtection="1">
      <alignment horizontal="center" vertical="center"/>
    </xf>
    <xf numFmtId="0" fontId="8" fillId="27" borderId="71" xfId="0" applyNumberFormat="1" applyFont="1" applyFill="1" applyBorder="1" applyAlignment="1" applyProtection="1">
      <alignment horizontal="center" vertical="center"/>
    </xf>
    <xf numFmtId="0" fontId="7" fillId="27" borderId="62" xfId="0" applyNumberFormat="1" applyFont="1" applyFill="1" applyBorder="1" applyAlignment="1" applyProtection="1">
      <alignment horizontal="center" vertical="center"/>
    </xf>
    <xf numFmtId="0" fontId="7" fillId="27" borderId="82" xfId="0" applyNumberFormat="1" applyFont="1" applyFill="1" applyBorder="1" applyAlignment="1" applyProtection="1">
      <alignment horizontal="center" vertical="center"/>
    </xf>
    <xf numFmtId="0" fontId="7" fillId="27" borderId="39" xfId="0" applyFont="1" applyFill="1" applyBorder="1" applyAlignment="1">
      <alignment horizontal="center"/>
    </xf>
    <xf numFmtId="0" fontId="7" fillId="27" borderId="15" xfId="0" applyFont="1" applyFill="1" applyBorder="1" applyAlignment="1">
      <alignment horizontal="center"/>
    </xf>
    <xf numFmtId="0" fontId="7" fillId="27" borderId="15" xfId="0" applyFont="1" applyFill="1" applyBorder="1" applyAlignment="1">
      <alignment horizontal="center" vertical="center"/>
    </xf>
    <xf numFmtId="0" fontId="7" fillId="27" borderId="27" xfId="0" applyNumberFormat="1" applyFont="1" applyFill="1" applyBorder="1" applyAlignment="1" applyProtection="1">
      <alignment horizontal="center" vertical="center"/>
    </xf>
    <xf numFmtId="0" fontId="7" fillId="27" borderId="55" xfId="0" applyNumberFormat="1" applyFont="1" applyFill="1" applyBorder="1" applyAlignment="1" applyProtection="1">
      <alignment horizontal="center" vertical="center"/>
    </xf>
    <xf numFmtId="0" fontId="7" fillId="27" borderId="28" xfId="0" applyNumberFormat="1" applyFont="1" applyFill="1" applyBorder="1" applyAlignment="1" applyProtection="1">
      <alignment horizontal="center" vertical="center"/>
    </xf>
    <xf numFmtId="0" fontId="7" fillId="27" borderId="51" xfId="0" applyNumberFormat="1" applyFont="1" applyFill="1" applyBorder="1" applyAlignment="1" applyProtection="1">
      <alignment horizontal="center" vertical="center"/>
    </xf>
    <xf numFmtId="0" fontId="7" fillId="27" borderId="38" xfId="0" applyNumberFormat="1" applyFont="1" applyFill="1" applyBorder="1" applyAlignment="1" applyProtection="1">
      <alignment horizontal="center" vertical="center"/>
    </xf>
    <xf numFmtId="0" fontId="7" fillId="27" borderId="29" xfId="0" applyNumberFormat="1" applyFont="1" applyFill="1" applyBorder="1" applyAlignment="1" applyProtection="1">
      <alignment horizontal="center" vertical="center"/>
    </xf>
    <xf numFmtId="0" fontId="7" fillId="27" borderId="53" xfId="0" applyNumberFormat="1" applyFont="1" applyFill="1" applyBorder="1" applyAlignment="1" applyProtection="1">
      <alignment horizontal="center" vertical="center"/>
    </xf>
    <xf numFmtId="0" fontId="8" fillId="27" borderId="15" xfId="0" applyNumberFormat="1" applyFont="1" applyFill="1" applyBorder="1" applyAlignment="1" applyProtection="1">
      <alignment horizontal="center" vertical="center"/>
    </xf>
    <xf numFmtId="0" fontId="7" fillId="27" borderId="28" xfId="0" applyNumberFormat="1" applyFont="1" applyFill="1" applyBorder="1" applyAlignment="1" applyProtection="1">
      <alignment horizontal="center"/>
    </xf>
    <xf numFmtId="0" fontId="7" fillId="27" borderId="56" xfId="0" applyNumberFormat="1" applyFont="1" applyFill="1" applyBorder="1" applyAlignment="1" applyProtection="1">
      <alignment horizontal="center" vertical="center"/>
    </xf>
    <xf numFmtId="0" fontId="7" fillId="27" borderId="28" xfId="0" applyFont="1" applyFill="1" applyBorder="1" applyAlignment="1">
      <alignment horizontal="center"/>
    </xf>
    <xf numFmtId="0" fontId="8" fillId="27" borderId="38" xfId="0" applyNumberFormat="1" applyFont="1" applyFill="1" applyBorder="1" applyAlignment="1" applyProtection="1">
      <alignment horizontal="center" vertical="center"/>
    </xf>
    <xf numFmtId="0" fontId="8" fillId="27" borderId="29" xfId="0" applyNumberFormat="1" applyFont="1" applyFill="1" applyBorder="1" applyAlignment="1" applyProtection="1">
      <alignment horizontal="center" vertical="center"/>
    </xf>
    <xf numFmtId="0" fontId="7" fillId="27" borderId="38" xfId="0" applyFont="1" applyFill="1" applyBorder="1" applyAlignment="1">
      <alignment horizontal="center"/>
    </xf>
    <xf numFmtId="0" fontId="7" fillId="27" borderId="38" xfId="0" applyFont="1" applyFill="1" applyBorder="1" applyAlignment="1">
      <alignment horizontal="center" vertical="center"/>
    </xf>
    <xf numFmtId="0" fontId="7" fillId="27" borderId="39" xfId="0" applyNumberFormat="1" applyFont="1" applyFill="1" applyBorder="1" applyAlignment="1" applyProtection="1">
      <alignment horizontal="center" vertical="center"/>
    </xf>
    <xf numFmtId="0" fontId="7" fillId="27" borderId="68" xfId="0" applyNumberFormat="1" applyFont="1" applyFill="1" applyBorder="1" applyAlignment="1" applyProtection="1">
      <alignment horizontal="center" vertical="center"/>
    </xf>
    <xf numFmtId="0" fontId="7" fillId="27" borderId="15" xfId="0" applyNumberFormat="1" applyFont="1" applyFill="1" applyBorder="1" applyAlignment="1" applyProtection="1">
      <alignment horizontal="center" vertical="center"/>
    </xf>
    <xf numFmtId="0" fontId="8" fillId="27" borderId="39" xfId="0" applyNumberFormat="1" applyFont="1" applyFill="1" applyBorder="1" applyAlignment="1" applyProtection="1">
      <alignment horizontal="center" vertical="center"/>
    </xf>
    <xf numFmtId="0" fontId="7" fillId="27" borderId="20" xfId="0" applyNumberFormat="1" applyFont="1" applyFill="1" applyBorder="1" applyAlignment="1" applyProtection="1">
      <alignment horizontal="center" vertical="center"/>
    </xf>
    <xf numFmtId="0" fontId="8" fillId="27" borderId="28" xfId="0" applyNumberFormat="1" applyFont="1" applyFill="1" applyBorder="1" applyAlignment="1" applyProtection="1">
      <alignment horizontal="center" vertical="center"/>
    </xf>
    <xf numFmtId="0" fontId="7" fillId="0" borderId="42" xfId="0" applyNumberFormat="1" applyFont="1" applyFill="1" applyBorder="1" applyAlignment="1" applyProtection="1">
      <alignment horizontal="center" vertical="top"/>
    </xf>
    <xf numFmtId="0" fontId="7" fillId="28" borderId="33" xfId="0" applyNumberFormat="1" applyFont="1" applyFill="1" applyBorder="1" applyAlignment="1" applyProtection="1">
      <alignment horizontal="center" vertical="center"/>
    </xf>
    <xf numFmtId="0" fontId="7" fillId="28" borderId="12" xfId="0" applyNumberFormat="1" applyFont="1" applyFill="1" applyBorder="1" applyAlignment="1" applyProtection="1">
      <alignment horizontal="center" vertical="center"/>
    </xf>
    <xf numFmtId="0" fontId="7" fillId="28" borderId="13" xfId="0" applyNumberFormat="1" applyFont="1" applyFill="1" applyBorder="1" applyAlignment="1" applyProtection="1">
      <alignment horizontal="center" vertical="center"/>
    </xf>
    <xf numFmtId="0" fontId="8" fillId="28" borderId="13" xfId="0" applyNumberFormat="1" applyFont="1" applyFill="1" applyBorder="1" applyAlignment="1" applyProtection="1">
      <alignment horizontal="center" vertical="center"/>
    </xf>
    <xf numFmtId="0" fontId="7" fillId="28" borderId="37" xfId="0" applyNumberFormat="1" applyFont="1" applyFill="1" applyBorder="1" applyAlignment="1" applyProtection="1">
      <alignment horizontal="center" vertical="center"/>
    </xf>
    <xf numFmtId="0" fontId="7" fillId="28" borderId="22" xfId="0" applyNumberFormat="1" applyFont="1" applyFill="1" applyBorder="1" applyAlignment="1" applyProtection="1">
      <alignment horizontal="center" vertical="center"/>
    </xf>
    <xf numFmtId="0" fontId="7" fillId="28" borderId="34" xfId="0" applyFont="1" applyFill="1" applyBorder="1" applyAlignment="1">
      <alignment horizontal="center"/>
    </xf>
    <xf numFmtId="0" fontId="7" fillId="28" borderId="11" xfId="0" applyFont="1" applyFill="1" applyBorder="1" applyAlignment="1">
      <alignment horizontal="center"/>
    </xf>
    <xf numFmtId="0" fontId="7" fillId="28" borderId="11" xfId="0" applyFont="1" applyFill="1" applyBorder="1" applyAlignment="1">
      <alignment horizontal="center" vertical="center"/>
    </xf>
    <xf numFmtId="0" fontId="7" fillId="28" borderId="34" xfId="0" applyNumberFormat="1" applyFont="1" applyFill="1" applyBorder="1" applyAlignment="1" applyProtection="1">
      <alignment horizontal="center" vertical="center"/>
    </xf>
    <xf numFmtId="0" fontId="7" fillId="28" borderId="11" xfId="0" applyNumberFormat="1" applyFont="1" applyFill="1" applyBorder="1" applyAlignment="1" applyProtection="1">
      <alignment horizontal="center" vertical="center"/>
    </xf>
    <xf numFmtId="0" fontId="7" fillId="28" borderId="75" xfId="0" applyNumberFormat="1" applyFont="1" applyFill="1" applyBorder="1" applyAlignment="1" applyProtection="1">
      <alignment horizontal="center" vertical="center"/>
    </xf>
    <xf numFmtId="0" fontId="7" fillId="28" borderId="61" xfId="0" applyNumberFormat="1" applyFont="1" applyFill="1" applyBorder="1" applyAlignment="1" applyProtection="1">
      <alignment horizontal="center" vertical="center"/>
    </xf>
    <xf numFmtId="0" fontId="8" fillId="28" borderId="14" xfId="0" applyNumberFormat="1" applyFont="1" applyFill="1" applyBorder="1" applyAlignment="1" applyProtection="1">
      <alignment horizontal="center" vertical="center"/>
    </xf>
    <xf numFmtId="0" fontId="7" fillId="28" borderId="34" xfId="0" applyNumberFormat="1" applyFont="1" applyFill="1" applyBorder="1" applyAlignment="1" applyProtection="1">
      <alignment horizontal="center"/>
    </xf>
    <xf numFmtId="0" fontId="7" fillId="28" borderId="21" xfId="0" applyNumberFormat="1" applyFont="1" applyFill="1" applyBorder="1" applyAlignment="1" applyProtection="1">
      <alignment horizontal="center" vertical="center"/>
    </xf>
    <xf numFmtId="0" fontId="8" fillId="28" borderId="34" xfId="0" applyNumberFormat="1" applyFont="1" applyFill="1" applyBorder="1" applyAlignment="1" applyProtection="1">
      <alignment horizontal="center" vertical="center"/>
    </xf>
    <xf numFmtId="0" fontId="7" fillId="28" borderId="14" xfId="0" applyNumberFormat="1" applyFont="1" applyFill="1" applyBorder="1" applyAlignment="1" applyProtection="1">
      <alignment horizontal="center" vertical="center"/>
    </xf>
    <xf numFmtId="0" fontId="7" fillId="28" borderId="35" xfId="0" applyNumberFormat="1" applyFont="1" applyFill="1" applyBorder="1" applyAlignment="1" applyProtection="1">
      <alignment horizontal="center" vertical="center"/>
    </xf>
    <xf numFmtId="0" fontId="7" fillId="28" borderId="50" xfId="0" applyNumberFormat="1" applyFont="1" applyFill="1" applyBorder="1" applyAlignment="1" applyProtection="1">
      <alignment horizontal="center" vertical="center"/>
    </xf>
    <xf numFmtId="0" fontId="8" fillId="28" borderId="11" xfId="0" applyNumberFormat="1" applyFont="1" applyFill="1" applyBorder="1" applyAlignment="1" applyProtection="1">
      <alignment horizontal="center" vertical="center"/>
    </xf>
    <xf numFmtId="0" fontId="7" fillId="28" borderId="85" xfId="0" applyNumberFormat="1" applyFont="1" applyFill="1" applyBorder="1" applyAlignment="1" applyProtection="1">
      <alignment horizontal="center" vertical="center"/>
    </xf>
    <xf numFmtId="0" fontId="7" fillId="28" borderId="34" xfId="0" applyNumberFormat="1" applyFont="1" applyFill="1" applyBorder="1" applyAlignment="1" applyProtection="1">
      <alignment horizontal="center" vertical="center" wrapText="1"/>
    </xf>
    <xf numFmtId="0" fontId="7" fillId="28" borderId="11" xfId="0" applyNumberFormat="1" applyFont="1" applyFill="1" applyBorder="1" applyAlignment="1" applyProtection="1">
      <alignment horizontal="center" vertical="center" wrapText="1"/>
    </xf>
    <xf numFmtId="0" fontId="8" fillId="28" borderId="11" xfId="0" applyNumberFormat="1" applyFont="1" applyFill="1" applyBorder="1" applyAlignment="1" applyProtection="1">
      <alignment horizontal="center" vertical="center" wrapText="1"/>
    </xf>
    <xf numFmtId="0" fontId="7" fillId="24" borderId="35" xfId="0" applyFont="1" applyFill="1" applyBorder="1" applyAlignment="1">
      <alignment horizontal="center"/>
    </xf>
    <xf numFmtId="0" fontId="3" fillId="29" borderId="72" xfId="0" applyNumberFormat="1" applyFont="1" applyFill="1" applyBorder="1" applyAlignment="1" applyProtection="1">
      <alignment horizontal="center" vertical="center" textRotation="90"/>
    </xf>
    <xf numFmtId="0" fontId="3" fillId="29" borderId="57" xfId="0" applyNumberFormat="1" applyFont="1" applyFill="1" applyBorder="1" applyAlignment="1" applyProtection="1">
      <alignment horizontal="center" vertical="center" textRotation="90"/>
    </xf>
    <xf numFmtId="0" fontId="7" fillId="29" borderId="28" xfId="0" applyNumberFormat="1" applyFont="1" applyFill="1" applyBorder="1" applyAlignment="1" applyProtection="1">
      <alignment horizontal="center" vertical="center"/>
    </xf>
    <xf numFmtId="0" fontId="7" fillId="29" borderId="29" xfId="0" applyNumberFormat="1" applyFont="1" applyFill="1" applyBorder="1" applyAlignment="1" applyProtection="1">
      <alignment horizontal="center" vertical="center"/>
    </xf>
    <xf numFmtId="0" fontId="7" fillId="29" borderId="33" xfId="0" applyNumberFormat="1" applyFont="1" applyFill="1" applyBorder="1" applyAlignment="1" applyProtection="1">
      <alignment horizontal="center" vertical="center"/>
    </xf>
    <xf numFmtId="0" fontId="7" fillId="29" borderId="13" xfId="0" applyNumberFormat="1" applyFont="1" applyFill="1" applyBorder="1" applyAlignment="1" applyProtection="1">
      <alignment horizontal="center" vertical="center"/>
    </xf>
    <xf numFmtId="0" fontId="7" fillId="29" borderId="37" xfId="0" applyNumberFormat="1" applyFont="1" applyFill="1" applyBorder="1" applyAlignment="1" applyProtection="1">
      <alignment horizontal="center" vertical="center"/>
    </xf>
    <xf numFmtId="0" fontId="7" fillId="29" borderId="22" xfId="0" applyNumberFormat="1" applyFont="1" applyFill="1" applyBorder="1" applyAlignment="1" applyProtection="1">
      <alignment horizontal="center" vertical="center"/>
    </xf>
    <xf numFmtId="0" fontId="8" fillId="24" borderId="75" xfId="0" applyNumberFormat="1" applyFont="1" applyFill="1" applyBorder="1" applyAlignment="1" applyProtection="1">
      <alignment horizontal="center" vertical="center"/>
    </xf>
    <xf numFmtId="0" fontId="8" fillId="28" borderId="12" xfId="0" applyNumberFormat="1" applyFont="1" applyFill="1" applyBorder="1" applyAlignment="1" applyProtection="1">
      <alignment horizontal="center" vertical="center"/>
    </xf>
    <xf numFmtId="0" fontId="7" fillId="0" borderId="24" xfId="0" applyNumberFormat="1" applyFont="1" applyFill="1" applyBorder="1" applyAlignment="1" applyProtection="1">
      <alignment horizontal="left" vertical="center" wrapText="1"/>
    </xf>
    <xf numFmtId="0" fontId="7" fillId="24" borderId="63" xfId="43" applyFont="1" applyFill="1" applyBorder="1" applyAlignment="1">
      <alignment vertical="center" wrapText="1"/>
    </xf>
    <xf numFmtId="0" fontId="7" fillId="24" borderId="82" xfId="43" applyFont="1" applyFill="1" applyBorder="1" applyAlignment="1">
      <alignment vertical="center" wrapText="1"/>
    </xf>
    <xf numFmtId="0" fontId="7" fillId="24" borderId="84" xfId="43" applyFont="1" applyFill="1" applyBorder="1" applyAlignment="1">
      <alignment vertical="center" wrapText="1"/>
    </xf>
    <xf numFmtId="0" fontId="7" fillId="0" borderId="85" xfId="0" applyNumberFormat="1" applyFont="1" applyFill="1" applyBorder="1" applyAlignment="1" applyProtection="1">
      <alignment horizontal="left" vertical="top" wrapText="1"/>
    </xf>
    <xf numFmtId="0" fontId="7" fillId="0" borderId="38" xfId="0" applyNumberFormat="1" applyFont="1" applyFill="1" applyBorder="1" applyAlignment="1" applyProtection="1">
      <alignment horizontal="center" vertical="top" wrapText="1"/>
    </xf>
    <xf numFmtId="0" fontId="7" fillId="0" borderId="13" xfId="0" applyNumberFormat="1" applyFont="1" applyFill="1" applyBorder="1" applyAlignment="1" applyProtection="1">
      <alignment horizontal="center" vertical="top" wrapText="1"/>
    </xf>
    <xf numFmtId="0" fontId="7" fillId="0" borderId="11" xfId="0" applyNumberFormat="1" applyFont="1" applyFill="1" applyBorder="1" applyAlignment="1" applyProtection="1">
      <alignment horizontal="center" vertical="top" wrapText="1"/>
    </xf>
    <xf numFmtId="0" fontId="7" fillId="0" borderId="38" xfId="0" applyNumberFormat="1" applyFont="1" applyFill="1" applyBorder="1" applyAlignment="1" applyProtection="1">
      <alignment horizontal="center" wrapText="1"/>
    </xf>
    <xf numFmtId="0" fontId="7" fillId="0" borderId="13" xfId="0" applyNumberFormat="1" applyFont="1" applyFill="1" applyBorder="1" applyAlignment="1" applyProtection="1">
      <alignment horizontal="center" wrapText="1"/>
    </xf>
    <xf numFmtId="0" fontId="7" fillId="0" borderId="11" xfId="0" applyNumberFormat="1" applyFont="1" applyFill="1" applyBorder="1" applyAlignment="1" applyProtection="1">
      <alignment horizontal="center" wrapText="1"/>
    </xf>
    <xf numFmtId="0" fontId="5" fillId="0" borderId="0" xfId="36" applyNumberFormat="1" applyFont="1" applyFill="1" applyBorder="1" applyAlignment="1" applyProtection="1">
      <alignment vertical="top"/>
    </xf>
    <xf numFmtId="0" fontId="4" fillId="24" borderId="0" xfId="36" applyNumberFormat="1" applyFont="1" applyFill="1" applyBorder="1" applyAlignment="1" applyProtection="1">
      <alignment vertical="top"/>
    </xf>
    <xf numFmtId="0" fontId="28" fillId="0" borderId="0" xfId="36" applyNumberFormat="1" applyFont="1" applyFill="1" applyBorder="1" applyAlignment="1" applyProtection="1">
      <alignment vertical="top"/>
    </xf>
    <xf numFmtId="0" fontId="28" fillId="0" borderId="0" xfId="36" applyNumberFormat="1" applyFont="1" applyFill="1" applyBorder="1" applyAlignment="1" applyProtection="1">
      <alignment vertical="top" wrapText="1"/>
    </xf>
    <xf numFmtId="0" fontId="28" fillId="0" borderId="0" xfId="36" applyNumberFormat="1" applyFont="1" applyFill="1" applyBorder="1" applyAlignment="1" applyProtection="1">
      <alignment horizontal="left" vertical="top"/>
    </xf>
    <xf numFmtId="0" fontId="30" fillId="0" borderId="0" xfId="36" applyNumberFormat="1" applyFont="1" applyFill="1" applyBorder="1" applyAlignment="1" applyProtection="1">
      <alignment horizontal="left" vertical="top"/>
    </xf>
    <xf numFmtId="0" fontId="30" fillId="0" borderId="0" xfId="36" applyNumberFormat="1" applyFont="1" applyFill="1" applyBorder="1" applyAlignment="1" applyProtection="1">
      <alignment vertical="top"/>
    </xf>
    <xf numFmtId="0" fontId="30" fillId="24" borderId="0" xfId="36" applyNumberFormat="1" applyFont="1" applyFill="1" applyBorder="1" applyAlignment="1" applyProtection="1">
      <alignment horizontal="left" vertical="top"/>
    </xf>
    <xf numFmtId="0" fontId="32" fillId="24" borderId="51" xfId="36" applyNumberFormat="1" applyFont="1" applyFill="1" applyBorder="1" applyAlignment="1" applyProtection="1">
      <alignment horizontal="center" vertical="center"/>
    </xf>
    <xf numFmtId="0" fontId="32" fillId="24" borderId="26" xfId="36" applyNumberFormat="1" applyFont="1" applyFill="1" applyBorder="1" applyAlignment="1" applyProtection="1">
      <alignment horizontal="center" vertical="center"/>
    </xf>
    <xf numFmtId="0" fontId="32" fillId="24" borderId="0" xfId="36" applyNumberFormat="1" applyFont="1" applyFill="1" applyBorder="1" applyAlignment="1" applyProtection="1">
      <alignment horizontal="center" vertical="center"/>
    </xf>
    <xf numFmtId="0" fontId="32" fillId="24" borderId="29" xfId="36" applyNumberFormat="1" applyFont="1" applyFill="1" applyBorder="1" applyAlignment="1" applyProtection="1">
      <alignment horizontal="center" vertical="center"/>
    </xf>
    <xf numFmtId="0" fontId="32" fillId="24" borderId="19" xfId="36" applyNumberFormat="1" applyFont="1" applyFill="1" applyBorder="1" applyAlignment="1" applyProtection="1">
      <alignment horizontal="center" vertical="center"/>
    </xf>
    <xf numFmtId="0" fontId="32" fillId="24" borderId="12" xfId="36" applyNumberFormat="1" applyFont="1" applyFill="1" applyBorder="1" applyAlignment="1" applyProtection="1">
      <alignment horizontal="center" vertical="center"/>
    </xf>
    <xf numFmtId="0" fontId="32" fillId="24" borderId="30" xfId="36" applyNumberFormat="1" applyFont="1" applyFill="1" applyBorder="1" applyAlignment="1" applyProtection="1">
      <alignment horizontal="center" vertical="center"/>
    </xf>
    <xf numFmtId="0" fontId="36" fillId="24" borderId="40" xfId="36" applyNumberFormat="1" applyFont="1" applyFill="1" applyBorder="1" applyAlignment="1" applyProtection="1">
      <alignment horizontal="center" vertical="center"/>
    </xf>
    <xf numFmtId="0" fontId="36" fillId="24" borderId="37" xfId="36" applyNumberFormat="1" applyFont="1" applyFill="1" applyBorder="1" applyAlignment="1" applyProtection="1">
      <alignment horizontal="left" vertical="top"/>
    </xf>
    <xf numFmtId="0" fontId="5" fillId="0" borderId="37" xfId="36" applyNumberFormat="1" applyFont="1" applyFill="1" applyBorder="1" applyAlignment="1" applyProtection="1">
      <alignment horizontal="center"/>
    </xf>
    <xf numFmtId="0" fontId="5" fillId="0" borderId="60" xfId="36" applyNumberFormat="1" applyFont="1" applyFill="1" applyBorder="1" applyAlignment="1" applyProtection="1">
      <alignment horizontal="center"/>
    </xf>
    <xf numFmtId="0" fontId="5" fillId="0" borderId="61" xfId="36" applyNumberFormat="1" applyFont="1" applyFill="1" applyBorder="1" applyAlignment="1" applyProtection="1">
      <alignment horizontal="center"/>
    </xf>
    <xf numFmtId="0" fontId="32" fillId="24" borderId="46" xfId="36" applyNumberFormat="1" applyFont="1" applyFill="1" applyBorder="1" applyAlignment="1" applyProtection="1">
      <alignment horizontal="left" vertical="top"/>
    </xf>
    <xf numFmtId="0" fontId="36" fillId="24" borderId="31" xfId="36" applyNumberFormat="1" applyFont="1" applyFill="1" applyBorder="1" applyAlignment="1" applyProtection="1">
      <alignment horizontal="left" vertical="top"/>
    </xf>
    <xf numFmtId="0" fontId="32" fillId="24" borderId="31" xfId="36" applyNumberFormat="1" applyFont="1" applyFill="1" applyBorder="1" applyAlignment="1" applyProtection="1">
      <alignment horizontal="left" vertical="top"/>
    </xf>
    <xf numFmtId="0" fontId="32" fillId="24" borderId="32" xfId="36" applyNumberFormat="1" applyFont="1" applyFill="1" applyBorder="1" applyAlignment="1" applyProtection="1">
      <alignment horizontal="left" vertical="top"/>
    </xf>
    <xf numFmtId="0" fontId="37" fillId="24" borderId="72" xfId="36" applyNumberFormat="1" applyFont="1" applyFill="1" applyBorder="1" applyAlignment="1" applyProtection="1">
      <alignment horizontal="center" vertical="top"/>
    </xf>
    <xf numFmtId="0" fontId="4" fillId="0" borderId="0" xfId="36" applyNumberFormat="1" applyFont="1" applyFill="1" applyBorder="1" applyAlignment="1" applyProtection="1">
      <alignment horizontal="left" vertical="top"/>
    </xf>
    <xf numFmtId="0" fontId="5" fillId="0" borderId="0" xfId="36" applyNumberFormat="1" applyFont="1" applyFill="1" applyBorder="1" applyAlignment="1" applyProtection="1">
      <alignment vertical="top" wrapText="1"/>
    </xf>
    <xf numFmtId="0" fontId="38" fillId="0" borderId="0" xfId="36" applyNumberFormat="1" applyFont="1" applyFill="1" applyBorder="1" applyAlignment="1" applyProtection="1">
      <alignment vertical="top"/>
    </xf>
    <xf numFmtId="0" fontId="3" fillId="0" borderId="0" xfId="36" applyNumberFormat="1" applyFont="1" applyFill="1" applyBorder="1" applyAlignment="1" applyProtection="1">
      <alignment vertical="top"/>
    </xf>
    <xf numFmtId="0" fontId="7" fillId="0" borderId="68" xfId="0" applyNumberFormat="1" applyFont="1" applyFill="1" applyBorder="1" applyAlignment="1" applyProtection="1">
      <alignment horizontal="center" vertical="center"/>
    </xf>
    <xf numFmtId="0" fontId="7" fillId="0" borderId="86" xfId="0" applyNumberFormat="1" applyFont="1" applyFill="1" applyBorder="1" applyAlignment="1" applyProtection="1">
      <alignment horizontal="center" vertical="center"/>
    </xf>
    <xf numFmtId="0" fontId="7" fillId="27" borderId="89" xfId="0" applyNumberFormat="1" applyFont="1" applyFill="1" applyBorder="1" applyAlignment="1" applyProtection="1">
      <alignment horizontal="center" vertical="center"/>
    </xf>
    <xf numFmtId="0" fontId="4" fillId="0" borderId="41" xfId="0" applyNumberFormat="1" applyFont="1" applyFill="1" applyBorder="1" applyAlignment="1" applyProtection="1">
      <alignment horizontal="center" vertical="center"/>
    </xf>
    <xf numFmtId="0" fontId="4" fillId="0" borderId="43" xfId="0" applyNumberFormat="1" applyFont="1" applyFill="1" applyBorder="1" applyAlignment="1" applyProtection="1">
      <alignment horizontal="center" vertical="center"/>
    </xf>
    <xf numFmtId="0" fontId="7" fillId="0" borderId="41" xfId="0" applyNumberFormat="1" applyFont="1" applyFill="1" applyBorder="1" applyAlignment="1" applyProtection="1">
      <alignment horizontal="center" vertical="center"/>
    </xf>
    <xf numFmtId="0" fontId="1" fillId="24" borderId="0" xfId="0" applyNumberFormat="1" applyFont="1" applyFill="1" applyBorder="1" applyAlignment="1" applyProtection="1">
      <alignment horizontal="center" vertical="top" wrapText="1"/>
    </xf>
    <xf numFmtId="0" fontId="7" fillId="0" borderId="48" xfId="0" applyNumberFormat="1" applyFont="1" applyFill="1" applyBorder="1" applyAlignment="1" applyProtection="1">
      <alignment horizontal="left" vertical="top" wrapText="1"/>
    </xf>
    <xf numFmtId="0" fontId="7" fillId="0" borderId="85" xfId="0" applyNumberFormat="1" applyFont="1" applyFill="1" applyBorder="1" applyAlignment="1" applyProtection="1">
      <alignment horizontal="left" vertical="top"/>
    </xf>
    <xf numFmtId="0" fontId="7" fillId="0" borderId="85" xfId="0" applyNumberFormat="1" applyFont="1" applyFill="1" applyBorder="1" applyAlignment="1" applyProtection="1">
      <alignment horizontal="left" vertical="center" wrapText="1" shrinkToFit="1"/>
    </xf>
    <xf numFmtId="0" fontId="7" fillId="0" borderId="19" xfId="0" applyFont="1" applyFill="1" applyBorder="1" applyAlignment="1">
      <alignment wrapText="1"/>
    </xf>
    <xf numFmtId="0" fontId="7" fillId="0" borderId="86" xfId="0" applyNumberFormat="1" applyFont="1" applyFill="1" applyBorder="1" applyAlignment="1" applyProtection="1">
      <alignment horizontal="left" vertical="top"/>
    </xf>
    <xf numFmtId="0" fontId="7" fillId="0" borderId="78" xfId="0" applyNumberFormat="1" applyFont="1" applyFill="1" applyBorder="1" applyAlignment="1" applyProtection="1">
      <alignment horizontal="left" vertical="top" wrapText="1"/>
    </xf>
    <xf numFmtId="0" fontId="8" fillId="29" borderId="70" xfId="0" applyNumberFormat="1" applyFont="1" applyFill="1" applyBorder="1" applyAlignment="1" applyProtection="1">
      <alignment horizontal="center" vertical="center"/>
    </xf>
    <xf numFmtId="0" fontId="8" fillId="26" borderId="32" xfId="0" applyNumberFormat="1" applyFont="1" applyFill="1" applyBorder="1" applyAlignment="1" applyProtection="1">
      <alignment horizontal="center" vertical="top"/>
    </xf>
    <xf numFmtId="0" fontId="8" fillId="27" borderId="72" xfId="0" applyNumberFormat="1" applyFont="1" applyFill="1" applyBorder="1" applyAlignment="1" applyProtection="1">
      <alignment horizontal="center" vertical="center"/>
    </xf>
    <xf numFmtId="0" fontId="7" fillId="24" borderId="50" xfId="0" applyNumberFormat="1" applyFont="1" applyFill="1" applyBorder="1" applyAlignment="1" applyProtection="1">
      <alignment horizontal="center" vertical="top"/>
    </xf>
    <xf numFmtId="0" fontId="7" fillId="0" borderId="36" xfId="0" applyNumberFormat="1" applyFont="1" applyFill="1" applyBorder="1" applyAlignment="1" applyProtection="1">
      <alignment horizontal="center" vertical="top"/>
    </xf>
    <xf numFmtId="0" fontId="7" fillId="24" borderId="55" xfId="0" applyNumberFormat="1" applyFont="1" applyFill="1" applyBorder="1" applyAlignment="1" applyProtection="1">
      <alignment horizontal="center" vertical="top"/>
    </xf>
    <xf numFmtId="0" fontId="41" fillId="0" borderId="26" xfId="0" applyNumberFormat="1" applyFont="1" applyFill="1" applyBorder="1" applyAlignment="1" applyProtection="1">
      <alignment horizontal="left" vertical="top" wrapText="1"/>
    </xf>
    <xf numFmtId="0" fontId="44" fillId="31" borderId="57" xfId="47" applyNumberFormat="1" applyFont="1" applyFill="1" applyBorder="1" applyAlignment="1" applyProtection="1">
      <alignment horizontal="left" vertical="center" wrapText="1"/>
      <protection locked="0" hidden="1"/>
    </xf>
    <xf numFmtId="0" fontId="7" fillId="27" borderId="13" xfId="0" applyNumberFormat="1" applyFont="1" applyFill="1" applyBorder="1" applyAlignment="1" applyProtection="1">
      <alignment horizontal="center" vertical="center"/>
    </xf>
    <xf numFmtId="0" fontId="7" fillId="27" borderId="64" xfId="0" applyNumberFormat="1" applyFont="1" applyFill="1" applyBorder="1" applyAlignment="1" applyProtection="1">
      <alignment horizontal="center" vertical="center"/>
    </xf>
    <xf numFmtId="0" fontId="41" fillId="0" borderId="13" xfId="0" applyNumberFormat="1" applyFont="1" applyFill="1" applyBorder="1" applyAlignment="1" applyProtection="1">
      <alignment horizontal="left" vertical="top" wrapText="1"/>
    </xf>
    <xf numFmtId="0" fontId="7" fillId="0" borderId="30" xfId="0" applyNumberFormat="1" applyFont="1" applyFill="1" applyBorder="1" applyAlignment="1" applyProtection="1">
      <alignment horizontal="center"/>
    </xf>
    <xf numFmtId="0" fontId="7" fillId="24" borderId="29" xfId="0" applyNumberFormat="1" applyFont="1" applyFill="1" applyBorder="1" applyAlignment="1" applyProtection="1">
      <alignment horizontal="center"/>
    </xf>
    <xf numFmtId="0" fontId="7" fillId="24" borderId="12" xfId="0" applyNumberFormat="1" applyFont="1" applyFill="1" applyBorder="1" applyAlignment="1" applyProtection="1">
      <alignment horizontal="center"/>
    </xf>
    <xf numFmtId="0" fontId="7" fillId="24" borderId="10" xfId="0" applyNumberFormat="1" applyFont="1" applyFill="1" applyBorder="1" applyAlignment="1" applyProtection="1">
      <alignment horizontal="center"/>
    </xf>
    <xf numFmtId="0" fontId="7" fillId="24" borderId="75" xfId="0" applyNumberFormat="1" applyFont="1" applyFill="1" applyBorder="1" applyAlignment="1" applyProtection="1">
      <alignment horizontal="center"/>
    </xf>
    <xf numFmtId="0" fontId="7" fillId="27" borderId="29" xfId="0" applyNumberFormat="1" applyFont="1" applyFill="1" applyBorder="1" applyAlignment="1" applyProtection="1">
      <alignment horizontal="center"/>
    </xf>
    <xf numFmtId="0" fontId="7" fillId="0" borderId="12" xfId="0" applyNumberFormat="1" applyFont="1" applyFill="1" applyBorder="1" applyAlignment="1" applyProtection="1">
      <alignment horizontal="center"/>
    </xf>
    <xf numFmtId="0" fontId="7" fillId="28" borderId="30" xfId="0" applyNumberFormat="1" applyFont="1" applyFill="1" applyBorder="1" applyAlignment="1" applyProtection="1">
      <alignment horizontal="center"/>
    </xf>
    <xf numFmtId="0" fontId="7" fillId="0" borderId="26" xfId="0" applyNumberFormat="1" applyFont="1" applyFill="1" applyBorder="1" applyAlignment="1" applyProtection="1">
      <alignment horizontal="center"/>
    </xf>
    <xf numFmtId="0" fontId="7" fillId="24" borderId="26" xfId="0" applyNumberFormat="1" applyFont="1" applyFill="1" applyBorder="1" applyAlignment="1" applyProtection="1">
      <alignment horizontal="center"/>
    </xf>
    <xf numFmtId="0" fontId="7" fillId="27" borderId="26" xfId="0" applyNumberFormat="1" applyFont="1" applyFill="1" applyBorder="1" applyAlignment="1" applyProtection="1">
      <alignment horizontal="center" vertical="center"/>
    </xf>
    <xf numFmtId="0" fontId="7" fillId="27" borderId="26" xfId="0" applyNumberFormat="1" applyFont="1" applyFill="1" applyBorder="1" applyAlignment="1" applyProtection="1">
      <alignment horizontal="center"/>
    </xf>
    <xf numFmtId="0" fontId="7" fillId="28" borderId="26" xfId="0" applyNumberFormat="1" applyFont="1" applyFill="1" applyBorder="1" applyAlignment="1" applyProtection="1">
      <alignment horizontal="center"/>
    </xf>
    <xf numFmtId="0" fontId="7" fillId="27" borderId="37" xfId="0" applyNumberFormat="1" applyFont="1" applyFill="1" applyBorder="1" applyAlignment="1" applyProtection="1">
      <alignment horizontal="center" vertical="center"/>
    </xf>
    <xf numFmtId="0" fontId="8" fillId="27" borderId="37" xfId="0" applyNumberFormat="1" applyFont="1" applyFill="1" applyBorder="1" applyAlignment="1" applyProtection="1">
      <alignment horizontal="center" vertical="center"/>
    </xf>
    <xf numFmtId="0" fontId="7" fillId="24" borderId="33" xfId="0" applyNumberFormat="1" applyFont="1" applyFill="1" applyBorder="1" applyAlignment="1" applyProtection="1">
      <alignment horizontal="left" vertical="center" wrapText="1"/>
    </xf>
    <xf numFmtId="0" fontId="7" fillId="27" borderId="33" xfId="0" applyNumberFormat="1" applyFont="1" applyFill="1" applyBorder="1" applyAlignment="1" applyProtection="1">
      <alignment horizontal="center" vertical="center"/>
    </xf>
    <xf numFmtId="0" fontId="7" fillId="27" borderId="33" xfId="0" applyNumberFormat="1" applyFont="1" applyFill="1" applyBorder="1" applyAlignment="1" applyProtection="1">
      <alignment horizontal="center"/>
    </xf>
    <xf numFmtId="0" fontId="7" fillId="28" borderId="33" xfId="0" applyNumberFormat="1" applyFont="1" applyFill="1" applyBorder="1" applyAlignment="1" applyProtection="1">
      <alignment horizontal="center"/>
    </xf>
    <xf numFmtId="0" fontId="8" fillId="0" borderId="33" xfId="0" applyNumberFormat="1" applyFont="1" applyFill="1" applyBorder="1" applyAlignment="1" applyProtection="1">
      <alignment horizontal="center"/>
    </xf>
    <xf numFmtId="0" fontId="7" fillId="24" borderId="13" xfId="0" applyNumberFormat="1" applyFont="1" applyFill="1" applyBorder="1" applyAlignment="1" applyProtection="1">
      <alignment horizontal="left" vertical="center" wrapText="1"/>
    </xf>
    <xf numFmtId="0" fontId="7" fillId="24" borderId="13" xfId="0" applyNumberFormat="1" applyFont="1" applyFill="1" applyBorder="1" applyAlignment="1" applyProtection="1">
      <alignment horizontal="center"/>
    </xf>
    <xf numFmtId="0" fontId="7" fillId="27" borderId="13" xfId="0" applyNumberFormat="1" applyFont="1" applyFill="1" applyBorder="1" applyAlignment="1" applyProtection="1">
      <alignment horizontal="center"/>
    </xf>
    <xf numFmtId="0" fontId="7" fillId="28" borderId="13" xfId="0" applyNumberFormat="1" applyFont="1" applyFill="1" applyBorder="1" applyAlignment="1" applyProtection="1">
      <alignment horizontal="center"/>
    </xf>
    <xf numFmtId="0" fontId="8" fillId="0" borderId="13" xfId="0" applyNumberFormat="1" applyFont="1" applyFill="1" applyBorder="1" applyAlignment="1" applyProtection="1">
      <alignment horizontal="center"/>
    </xf>
    <xf numFmtId="0" fontId="8" fillId="25" borderId="32" xfId="0" applyNumberFormat="1" applyFont="1" applyFill="1" applyBorder="1" applyAlignment="1" applyProtection="1">
      <alignment horizontal="center" vertical="top"/>
    </xf>
    <xf numFmtId="0" fontId="8" fillId="25" borderId="80" xfId="0" applyNumberFormat="1" applyFont="1" applyFill="1" applyBorder="1" applyAlignment="1" applyProtection="1">
      <alignment horizontal="left" vertical="top" wrapText="1"/>
    </xf>
    <xf numFmtId="0" fontId="8" fillId="25" borderId="46" xfId="0" applyNumberFormat="1" applyFont="1" applyFill="1" applyBorder="1" applyAlignment="1" applyProtection="1">
      <alignment horizontal="center" vertical="center"/>
    </xf>
    <xf numFmtId="0" fontId="8" fillId="25" borderId="31" xfId="0" applyNumberFormat="1" applyFont="1" applyFill="1" applyBorder="1" applyAlignment="1" applyProtection="1">
      <alignment horizontal="center" vertical="center"/>
    </xf>
    <xf numFmtId="0" fontId="8" fillId="25" borderId="32" xfId="0" applyNumberFormat="1" applyFont="1" applyFill="1" applyBorder="1" applyAlignment="1" applyProtection="1">
      <alignment horizontal="center" vertical="center"/>
    </xf>
    <xf numFmtId="0" fontId="8" fillId="27" borderId="46" xfId="0" applyNumberFormat="1" applyFont="1" applyFill="1" applyBorder="1" applyAlignment="1" applyProtection="1">
      <alignment horizontal="center" vertical="center"/>
    </xf>
    <xf numFmtId="0" fontId="8" fillId="0" borderId="31" xfId="0" applyNumberFormat="1" applyFont="1" applyFill="1" applyBorder="1" applyAlignment="1" applyProtection="1">
      <alignment horizontal="center" vertical="center"/>
    </xf>
    <xf numFmtId="0" fontId="8" fillId="28" borderId="32" xfId="0" applyNumberFormat="1" applyFont="1" applyFill="1" applyBorder="1" applyAlignment="1" applyProtection="1">
      <alignment horizontal="center" vertical="center"/>
    </xf>
    <xf numFmtId="0" fontId="7" fillId="0" borderId="31" xfId="0" applyNumberFormat="1" applyFont="1" applyFill="1" applyBorder="1" applyAlignment="1" applyProtection="1">
      <alignment horizontal="center" vertical="center"/>
    </xf>
    <xf numFmtId="0" fontId="7" fillId="28" borderId="32" xfId="0" applyNumberFormat="1" applyFont="1" applyFill="1" applyBorder="1" applyAlignment="1" applyProtection="1">
      <alignment horizontal="center" vertical="center"/>
    </xf>
    <xf numFmtId="0" fontId="7" fillId="27" borderId="46" xfId="0" applyNumberFormat="1" applyFont="1" applyFill="1" applyBorder="1" applyAlignment="1" applyProtection="1">
      <alignment horizontal="center" vertical="center"/>
    </xf>
    <xf numFmtId="1" fontId="7" fillId="27" borderId="39" xfId="0" applyNumberFormat="1" applyFont="1" applyFill="1" applyBorder="1" applyAlignment="1" applyProtection="1">
      <alignment horizontal="center" vertical="center"/>
    </xf>
    <xf numFmtId="0" fontId="32" fillId="24" borderId="42" xfId="36" applyNumberFormat="1" applyFont="1" applyFill="1" applyBorder="1" applyAlignment="1" applyProtection="1">
      <alignment horizontal="center" vertical="center"/>
    </xf>
    <xf numFmtId="0" fontId="4" fillId="0" borderId="12" xfId="0" applyNumberFormat="1" applyFont="1" applyFill="1" applyBorder="1" applyAlignment="1" applyProtection="1">
      <alignment horizontal="center" textRotation="90" wrapText="1"/>
    </xf>
    <xf numFmtId="0" fontId="4" fillId="0" borderId="68" xfId="0" applyNumberFormat="1" applyFont="1" applyFill="1" applyBorder="1" applyAlignment="1" applyProtection="1">
      <alignment horizontal="center" textRotation="90" wrapText="1"/>
    </xf>
    <xf numFmtId="0" fontId="7" fillId="27" borderId="57" xfId="0" applyNumberFormat="1" applyFont="1" applyFill="1" applyBorder="1" applyAlignment="1" applyProtection="1">
      <alignment horizontal="center" vertical="center"/>
    </xf>
    <xf numFmtId="0" fontId="37" fillId="24" borderId="79" xfId="36" applyNumberFormat="1" applyFont="1" applyFill="1" applyBorder="1" applyAlignment="1" applyProtection="1">
      <alignment horizontal="center" vertical="top"/>
    </xf>
    <xf numFmtId="0" fontId="36" fillId="24" borderId="40" xfId="36" applyNumberFormat="1" applyFont="1" applyFill="1" applyBorder="1" applyAlignment="1" applyProtection="1">
      <alignment horizontal="center" vertical="center" textRotation="90"/>
    </xf>
    <xf numFmtId="0" fontId="32" fillId="24" borderId="40" xfId="36" applyNumberFormat="1" applyFont="1" applyFill="1" applyBorder="1" applyAlignment="1" applyProtection="1">
      <alignment horizontal="center" vertical="center"/>
    </xf>
    <xf numFmtId="0" fontId="32" fillId="24" borderId="59" xfId="36" applyNumberFormat="1" applyFont="1" applyFill="1" applyBorder="1" applyAlignment="1" applyProtection="1">
      <alignment horizontal="left" vertical="top"/>
    </xf>
    <xf numFmtId="0" fontId="32" fillId="25" borderId="40" xfId="36" applyNumberFormat="1" applyFont="1" applyFill="1" applyBorder="1" applyAlignment="1" applyProtection="1">
      <alignment horizontal="left" vertical="top"/>
    </xf>
    <xf numFmtId="0" fontId="32" fillId="25" borderId="25" xfId="36" applyNumberFormat="1" applyFont="1" applyFill="1" applyBorder="1" applyAlignment="1" applyProtection="1">
      <alignment horizontal="left" vertical="top"/>
    </xf>
    <xf numFmtId="0" fontId="32" fillId="25" borderId="37" xfId="36" applyNumberFormat="1" applyFont="1" applyFill="1" applyBorder="1" applyAlignment="1" applyProtection="1">
      <alignment horizontal="left" vertical="top"/>
    </xf>
    <xf numFmtId="0" fontId="32" fillId="25" borderId="61" xfId="36" applyNumberFormat="1" applyFont="1" applyFill="1" applyBorder="1" applyAlignment="1" applyProtection="1">
      <alignment horizontal="left" vertical="top"/>
    </xf>
    <xf numFmtId="0" fontId="32" fillId="25" borderId="31" xfId="36" applyNumberFormat="1" applyFont="1" applyFill="1" applyBorder="1" applyAlignment="1" applyProtection="1">
      <alignment horizontal="left" vertical="top"/>
    </xf>
    <xf numFmtId="0" fontId="32" fillId="25" borderId="32" xfId="36" applyNumberFormat="1" applyFont="1" applyFill="1" applyBorder="1" applyAlignment="1" applyProtection="1">
      <alignment horizontal="left" vertical="top"/>
    </xf>
    <xf numFmtId="0" fontId="5" fillId="0" borderId="52" xfId="36" applyNumberFormat="1" applyFont="1" applyFill="1" applyBorder="1" applyAlignment="1" applyProtection="1">
      <alignment horizontal="center" vertical="center"/>
    </xf>
    <xf numFmtId="0" fontId="38" fillId="0" borderId="59" xfId="36" applyNumberFormat="1" applyFont="1" applyFill="1" applyBorder="1" applyAlignment="1" applyProtection="1">
      <alignment horizontal="center"/>
    </xf>
    <xf numFmtId="0" fontId="38" fillId="0" borderId="37" xfId="36" applyNumberFormat="1" applyFont="1" applyFill="1" applyBorder="1" applyAlignment="1" applyProtection="1">
      <alignment horizontal="center"/>
    </xf>
    <xf numFmtId="0" fontId="38" fillId="0" borderId="60" xfId="36" applyNumberFormat="1" applyFont="1" applyFill="1" applyBorder="1" applyAlignment="1" applyProtection="1">
      <alignment horizontal="center"/>
    </xf>
    <xf numFmtId="0" fontId="38" fillId="0" borderId="61" xfId="36" applyNumberFormat="1" applyFont="1" applyFill="1" applyBorder="1" applyAlignment="1" applyProtection="1">
      <alignment horizontal="center"/>
    </xf>
    <xf numFmtId="0" fontId="37" fillId="24" borderId="65" xfId="36" applyNumberFormat="1" applyFont="1" applyFill="1" applyBorder="1" applyAlignment="1" applyProtection="1">
      <alignment horizontal="center" vertical="top"/>
    </xf>
    <xf numFmtId="0" fontId="37" fillId="0" borderId="57" xfId="36" applyNumberFormat="1" applyFont="1" applyFill="1" applyBorder="1" applyAlignment="1" applyProtection="1">
      <alignment horizontal="center" vertical="center"/>
    </xf>
    <xf numFmtId="0" fontId="5" fillId="0" borderId="59" xfId="36" applyNumberFormat="1" applyFont="1" applyFill="1" applyBorder="1" applyAlignment="1" applyProtection="1">
      <alignment horizontal="center" vertical="center"/>
    </xf>
    <xf numFmtId="0" fontId="5" fillId="0" borderId="37" xfId="36" applyNumberFormat="1" applyFont="1" applyFill="1" applyBorder="1" applyAlignment="1" applyProtection="1">
      <alignment horizontal="center" vertical="center"/>
    </xf>
    <xf numFmtId="0" fontId="5" fillId="0" borderId="37" xfId="36" applyNumberFormat="1" applyFont="1" applyFill="1" applyBorder="1" applyAlignment="1" applyProtection="1">
      <alignment horizontal="center" vertical="center" wrapText="1"/>
    </xf>
    <xf numFmtId="0" fontId="5" fillId="0" borderId="53" xfId="36" applyNumberFormat="1" applyFont="1" applyFill="1" applyBorder="1" applyAlignment="1" applyProtection="1">
      <alignment horizontal="center" vertical="center" wrapText="1"/>
    </xf>
    <xf numFmtId="0" fontId="5" fillId="0" borderId="60" xfId="36" applyNumberFormat="1" applyFont="1" applyFill="1" applyBorder="1" applyAlignment="1" applyProtection="1">
      <alignment horizontal="center" vertical="center"/>
    </xf>
    <xf numFmtId="0" fontId="5" fillId="0" borderId="61" xfId="36" applyNumberFormat="1" applyFont="1" applyFill="1" applyBorder="1" applyAlignment="1" applyProtection="1">
      <alignment horizontal="center" vertical="center"/>
    </xf>
    <xf numFmtId="0" fontId="8" fillId="29" borderId="52" xfId="0" applyNumberFormat="1" applyFont="1" applyFill="1" applyBorder="1" applyAlignment="1" applyProtection="1">
      <alignment horizontal="left" vertical="center" wrapText="1"/>
    </xf>
    <xf numFmtId="0" fontId="8" fillId="29" borderId="58" xfId="0" applyNumberFormat="1" applyFont="1" applyFill="1" applyBorder="1" applyAlignment="1" applyProtection="1">
      <alignment horizontal="left" vertical="center" wrapText="1"/>
    </xf>
    <xf numFmtId="0" fontId="8" fillId="29" borderId="52" xfId="0" applyNumberFormat="1" applyFont="1" applyFill="1" applyBorder="1" applyAlignment="1" applyProtection="1">
      <alignment horizontal="left" vertical="center"/>
    </xf>
    <xf numFmtId="0" fontId="28" fillId="0" borderId="10" xfId="0" applyNumberFormat="1" applyFont="1" applyFill="1" applyBorder="1" applyAlignment="1" applyProtection="1">
      <alignment horizontal="center" textRotation="90" wrapText="1"/>
    </xf>
    <xf numFmtId="0" fontId="4" fillId="0" borderId="26" xfId="0" applyNumberFormat="1" applyFont="1" applyFill="1" applyBorder="1" applyAlignment="1" applyProtection="1">
      <alignment textRotation="90" wrapText="1"/>
    </xf>
    <xf numFmtId="0" fontId="4" fillId="28" borderId="75" xfId="0" applyNumberFormat="1" applyFont="1" applyFill="1" applyBorder="1" applyAlignment="1" applyProtection="1">
      <alignment textRotation="90" wrapText="1"/>
    </xf>
    <xf numFmtId="0" fontId="8" fillId="29" borderId="13" xfId="0" applyNumberFormat="1" applyFont="1" applyFill="1" applyBorder="1" applyAlignment="1" applyProtection="1">
      <alignment horizontal="center" vertical="center"/>
    </xf>
    <xf numFmtId="1" fontId="8" fillId="29" borderId="13" xfId="0" applyNumberFormat="1" applyFont="1" applyFill="1" applyBorder="1" applyAlignment="1" applyProtection="1">
      <alignment horizontal="center" vertical="center"/>
    </xf>
    <xf numFmtId="0" fontId="8" fillId="29" borderId="44" xfId="0" applyNumberFormat="1" applyFont="1" applyFill="1" applyBorder="1" applyAlignment="1" applyProtection="1">
      <alignment horizontal="center" vertical="center"/>
    </xf>
    <xf numFmtId="0" fontId="8" fillId="29" borderId="18" xfId="0" applyNumberFormat="1" applyFont="1" applyFill="1" applyBorder="1" applyAlignment="1" applyProtection="1">
      <alignment horizontal="center" vertical="center"/>
    </xf>
    <xf numFmtId="1" fontId="8" fillId="29" borderId="18" xfId="0" applyNumberFormat="1" applyFont="1" applyFill="1" applyBorder="1" applyAlignment="1" applyProtection="1">
      <alignment horizontal="center" vertical="center"/>
    </xf>
    <xf numFmtId="1" fontId="8" fillId="29" borderId="17" xfId="0" applyNumberFormat="1" applyFont="1" applyFill="1" applyBorder="1" applyAlignment="1" applyProtection="1">
      <alignment horizontal="center" vertical="center"/>
    </xf>
    <xf numFmtId="0" fontId="8" fillId="29" borderId="15" xfId="0" applyNumberFormat="1" applyFont="1" applyFill="1" applyBorder="1" applyAlignment="1" applyProtection="1">
      <alignment horizontal="center" vertical="center"/>
    </xf>
    <xf numFmtId="1" fontId="8" fillId="29" borderId="11" xfId="0" applyNumberFormat="1" applyFont="1" applyFill="1" applyBorder="1" applyAlignment="1" applyProtection="1">
      <alignment horizontal="center" vertical="center"/>
    </xf>
    <xf numFmtId="0" fontId="8" fillId="29" borderId="20" xfId="0" applyNumberFormat="1" applyFont="1" applyFill="1" applyBorder="1" applyAlignment="1" applyProtection="1">
      <alignment horizontal="center" vertical="center"/>
    </xf>
    <xf numFmtId="0" fontId="8" fillId="29" borderId="22" xfId="0" applyNumberFormat="1" applyFont="1" applyFill="1" applyBorder="1" applyAlignment="1" applyProtection="1">
      <alignment horizontal="center" vertical="center"/>
    </xf>
    <xf numFmtId="1" fontId="8" fillId="29" borderId="22" xfId="0" applyNumberFormat="1" applyFont="1" applyFill="1" applyBorder="1" applyAlignment="1" applyProtection="1">
      <alignment horizontal="center" vertical="center"/>
    </xf>
    <xf numFmtId="1" fontId="8" fillId="29" borderId="21" xfId="0" applyNumberFormat="1" applyFont="1" applyFill="1" applyBorder="1" applyAlignment="1" applyProtection="1">
      <alignment horizontal="center" vertical="center"/>
    </xf>
    <xf numFmtId="1" fontId="8" fillId="29" borderId="44" xfId="0" applyNumberFormat="1" applyFont="1" applyFill="1" applyBorder="1" applyAlignment="1" applyProtection="1">
      <alignment horizontal="center" vertical="center"/>
    </xf>
    <xf numFmtId="1" fontId="8" fillId="29" borderId="15" xfId="0" applyNumberFormat="1" applyFont="1" applyFill="1" applyBorder="1" applyAlignment="1" applyProtection="1">
      <alignment horizontal="center" vertical="center"/>
    </xf>
    <xf numFmtId="1" fontId="8" fillId="29" borderId="20" xfId="0" applyNumberFormat="1" applyFont="1" applyFill="1" applyBorder="1" applyAlignment="1" applyProtection="1">
      <alignment horizontal="center" vertical="center"/>
    </xf>
    <xf numFmtId="0" fontId="7" fillId="0" borderId="14" xfId="0" applyNumberFormat="1" applyFont="1" applyFill="1" applyBorder="1" applyAlignment="1" applyProtection="1">
      <alignment horizontal="center" vertical="top"/>
    </xf>
    <xf numFmtId="0" fontId="7" fillId="0" borderId="35" xfId="0" applyFont="1" applyFill="1" applyBorder="1" applyAlignment="1">
      <alignment horizontal="center" vertical="center"/>
    </xf>
    <xf numFmtId="0" fontId="7" fillId="0" borderId="35" xfId="0" applyNumberFormat="1" applyFont="1" applyFill="1" applyBorder="1" applyAlignment="1" applyProtection="1">
      <alignment horizontal="center" vertical="top"/>
    </xf>
    <xf numFmtId="0" fontId="7" fillId="24" borderId="35" xfId="0" applyNumberFormat="1" applyFont="1" applyFill="1" applyBorder="1" applyAlignment="1" applyProtection="1">
      <alignment horizontal="center" vertical="top"/>
    </xf>
    <xf numFmtId="1" fontId="7" fillId="0" borderId="55" xfId="0" applyNumberFormat="1" applyFont="1" applyFill="1" applyBorder="1" applyAlignment="1" applyProtection="1">
      <alignment horizontal="center" vertical="top"/>
    </xf>
    <xf numFmtId="1" fontId="8" fillId="29" borderId="26" xfId="0" applyNumberFormat="1" applyFont="1" applyFill="1" applyBorder="1" applyAlignment="1" applyProtection="1">
      <alignment horizontal="center" vertical="center"/>
    </xf>
    <xf numFmtId="1" fontId="7" fillId="29" borderId="62" xfId="0" applyNumberFormat="1" applyFont="1" applyFill="1" applyBorder="1" applyAlignment="1" applyProtection="1">
      <alignment horizontal="center" vertical="center"/>
    </xf>
    <xf numFmtId="1" fontId="7" fillId="29" borderId="82" xfId="0" applyNumberFormat="1" applyFont="1" applyFill="1" applyBorder="1" applyAlignment="1" applyProtection="1">
      <alignment horizontal="center" vertical="center"/>
    </xf>
    <xf numFmtId="1" fontId="7" fillId="29" borderId="84" xfId="0" applyNumberFormat="1" applyFont="1" applyFill="1" applyBorder="1" applyAlignment="1" applyProtection="1">
      <alignment horizontal="center" vertical="center"/>
    </xf>
    <xf numFmtId="1" fontId="8" fillId="29" borderId="64" xfId="0" applyNumberFormat="1" applyFont="1" applyFill="1" applyBorder="1" applyAlignment="1" applyProtection="1">
      <alignment horizontal="center" vertical="center"/>
    </xf>
    <xf numFmtId="1" fontId="7" fillId="0" borderId="27" xfId="0" applyNumberFormat="1" applyFont="1" applyFill="1" applyBorder="1" applyAlignment="1" applyProtection="1">
      <alignment horizontal="center" vertical="center"/>
    </xf>
    <xf numFmtId="1" fontId="7" fillId="0" borderId="55" xfId="0" applyNumberFormat="1" applyFont="1" applyFill="1" applyBorder="1" applyAlignment="1" applyProtection="1">
      <alignment horizontal="center" vertical="center"/>
    </xf>
    <xf numFmtId="0" fontId="7" fillId="0" borderId="55" xfId="0" applyNumberFormat="1" applyFont="1" applyFill="1" applyBorder="1" applyAlignment="1" applyProtection="1">
      <alignment horizontal="center" vertical="center"/>
    </xf>
    <xf numFmtId="0" fontId="7" fillId="0" borderId="55" xfId="0" applyNumberFormat="1" applyFont="1" applyFill="1" applyBorder="1" applyAlignment="1" applyProtection="1">
      <alignment horizontal="center" vertical="top"/>
    </xf>
    <xf numFmtId="1" fontId="8" fillId="29" borderId="75" xfId="0" applyNumberFormat="1" applyFont="1" applyFill="1" applyBorder="1" applyAlignment="1" applyProtection="1">
      <alignment horizontal="center" vertical="center"/>
    </xf>
    <xf numFmtId="0" fontId="7" fillId="0" borderId="14" xfId="0" applyFont="1" applyFill="1" applyBorder="1" applyAlignment="1">
      <alignment horizontal="center" vertical="center"/>
    </xf>
    <xf numFmtId="0" fontId="7" fillId="28" borderId="62" xfId="0" applyFont="1" applyFill="1" applyBorder="1" applyAlignment="1">
      <alignment horizontal="center"/>
    </xf>
    <xf numFmtId="0" fontId="7" fillId="28" borderId="82" xfId="0" applyFont="1" applyFill="1" applyBorder="1" applyAlignment="1">
      <alignment horizontal="center"/>
    </xf>
    <xf numFmtId="0" fontId="7" fillId="28" borderId="84" xfId="0" applyFont="1" applyFill="1" applyBorder="1" applyAlignment="1">
      <alignment horizontal="center"/>
    </xf>
    <xf numFmtId="0" fontId="7" fillId="28" borderId="48" xfId="0" applyFont="1" applyFill="1" applyBorder="1" applyAlignment="1">
      <alignment horizontal="center"/>
    </xf>
    <xf numFmtId="0" fontId="7" fillId="28" borderId="44" xfId="0" applyFont="1" applyFill="1" applyBorder="1" applyAlignment="1">
      <alignment horizontal="center"/>
    </xf>
    <xf numFmtId="0" fontId="7" fillId="0" borderId="18" xfId="0" applyFont="1" applyFill="1" applyBorder="1" applyAlignment="1">
      <alignment horizontal="center"/>
    </xf>
    <xf numFmtId="0" fontId="7" fillId="28" borderId="17" xfId="0" applyFont="1" applyFill="1" applyBorder="1" applyAlignment="1">
      <alignment horizontal="center"/>
    </xf>
    <xf numFmtId="0" fontId="7" fillId="28" borderId="15" xfId="0" applyFont="1" applyFill="1" applyBorder="1" applyAlignment="1">
      <alignment horizontal="center"/>
    </xf>
    <xf numFmtId="0" fontId="7" fillId="27" borderId="20" xfId="0" applyFont="1" applyFill="1" applyBorder="1" applyAlignment="1">
      <alignment horizontal="center"/>
    </xf>
    <xf numFmtId="0" fontId="7" fillId="0" borderId="22" xfId="0" applyFont="1" applyFill="1" applyBorder="1" applyAlignment="1">
      <alignment horizontal="center"/>
    </xf>
    <xf numFmtId="0" fontId="7" fillId="28" borderId="21" xfId="0" applyFont="1" applyFill="1" applyBorder="1" applyAlignment="1">
      <alignment horizontal="center"/>
    </xf>
    <xf numFmtId="0" fontId="7" fillId="28" borderId="14" xfId="0" applyFont="1" applyFill="1" applyBorder="1" applyAlignment="1">
      <alignment horizontal="center"/>
    </xf>
    <xf numFmtId="0" fontId="7" fillId="28" borderId="35" xfId="0" applyFont="1" applyFill="1" applyBorder="1" applyAlignment="1">
      <alignment horizontal="center"/>
    </xf>
    <xf numFmtId="0" fontId="7" fillId="28" borderId="35" xfId="0" applyFont="1" applyFill="1" applyBorder="1" applyAlignment="1">
      <alignment horizontal="center" vertical="center"/>
    </xf>
    <xf numFmtId="0" fontId="7" fillId="28" borderId="15" xfId="0" applyFont="1" applyFill="1" applyBorder="1" applyAlignment="1">
      <alignment horizontal="center" vertical="center"/>
    </xf>
    <xf numFmtId="0" fontId="8" fillId="29" borderId="54" xfId="0" applyNumberFormat="1" applyFont="1" applyFill="1" applyBorder="1" applyAlignment="1" applyProtection="1">
      <alignment horizontal="center" vertical="center"/>
    </xf>
    <xf numFmtId="0" fontId="8" fillId="29" borderId="35" xfId="0" applyNumberFormat="1" applyFont="1" applyFill="1" applyBorder="1" applyAlignment="1" applyProtection="1">
      <alignment horizontal="center" vertical="center"/>
    </xf>
    <xf numFmtId="0" fontId="8" fillId="29" borderId="36" xfId="0" applyNumberFormat="1" applyFont="1" applyFill="1" applyBorder="1" applyAlignment="1" applyProtection="1">
      <alignment horizontal="center" vertical="center"/>
    </xf>
    <xf numFmtId="1" fontId="8" fillId="29" borderId="67" xfId="0" applyNumberFormat="1" applyFont="1" applyFill="1" applyBorder="1" applyAlignment="1" applyProtection="1">
      <alignment horizontal="center" vertical="center"/>
    </xf>
    <xf numFmtId="1" fontId="8" fillId="29" borderId="55" xfId="0" applyNumberFormat="1" applyFont="1" applyFill="1" applyBorder="1" applyAlignment="1" applyProtection="1">
      <alignment horizontal="center" vertical="center"/>
    </xf>
    <xf numFmtId="1" fontId="8" fillId="29" borderId="76" xfId="0" applyNumberFormat="1" applyFont="1" applyFill="1" applyBorder="1" applyAlignment="1" applyProtection="1">
      <alignment horizontal="center" vertical="center"/>
    </xf>
    <xf numFmtId="1" fontId="8" fillId="29" borderId="62" xfId="0" applyNumberFormat="1" applyFont="1" applyFill="1" applyBorder="1" applyAlignment="1" applyProtection="1">
      <alignment horizontal="center" vertical="center"/>
    </xf>
    <xf numFmtId="1" fontId="8" fillId="29" borderId="82" xfId="0" applyNumberFormat="1" applyFont="1" applyFill="1" applyBorder="1" applyAlignment="1" applyProtection="1">
      <alignment horizontal="center" vertical="center"/>
    </xf>
    <xf numFmtId="1" fontId="8" fillId="29" borderId="84" xfId="0" applyNumberFormat="1" applyFont="1" applyFill="1" applyBorder="1" applyAlignment="1" applyProtection="1">
      <alignment horizontal="center" vertical="center"/>
    </xf>
    <xf numFmtId="0" fontId="7" fillId="27" borderId="69" xfId="0" applyNumberFormat="1" applyFont="1" applyFill="1" applyBorder="1" applyAlignment="1" applyProtection="1">
      <alignment horizontal="center" vertical="center"/>
    </xf>
    <xf numFmtId="0" fontId="7" fillId="28" borderId="30" xfId="0" applyNumberFormat="1" applyFont="1" applyFill="1" applyBorder="1" applyAlignment="1" applyProtection="1">
      <alignment horizontal="center" vertical="center"/>
    </xf>
    <xf numFmtId="0" fontId="7" fillId="24" borderId="35" xfId="0" applyNumberFormat="1" applyFont="1" applyFill="1" applyBorder="1" applyAlignment="1" applyProtection="1">
      <alignment horizontal="center" vertical="center"/>
    </xf>
    <xf numFmtId="0" fontId="7" fillId="28" borderId="62" xfId="0" applyNumberFormat="1" applyFont="1" applyFill="1" applyBorder="1" applyAlignment="1" applyProtection="1">
      <alignment horizontal="center" vertical="center"/>
    </xf>
    <xf numFmtId="0" fontId="7" fillId="28" borderId="63" xfId="0" applyNumberFormat="1" applyFont="1" applyFill="1" applyBorder="1" applyAlignment="1" applyProtection="1">
      <alignment horizontal="center" vertical="center"/>
    </xf>
    <xf numFmtId="0" fontId="7" fillId="27" borderId="72" xfId="0" applyNumberFormat="1" applyFont="1" applyFill="1" applyBorder="1" applyAlignment="1" applyProtection="1">
      <alignment horizontal="center" vertical="center"/>
    </xf>
    <xf numFmtId="0" fontId="7" fillId="0" borderId="27" xfId="0" applyNumberFormat="1" applyFont="1" applyFill="1" applyBorder="1" applyAlignment="1" applyProtection="1">
      <alignment horizontal="center" vertical="center"/>
    </xf>
    <xf numFmtId="0" fontId="7" fillId="24" borderId="27" xfId="0" applyNumberFormat="1" applyFont="1" applyFill="1" applyBorder="1" applyAlignment="1" applyProtection="1">
      <alignment horizontal="center" vertical="center"/>
    </xf>
    <xf numFmtId="0" fontId="7" fillId="24" borderId="0" xfId="0" applyNumberFormat="1" applyFont="1" applyFill="1" applyBorder="1" applyAlignment="1" applyProtection="1">
      <alignment horizontal="center" vertical="center"/>
    </xf>
    <xf numFmtId="0" fontId="7" fillId="24" borderId="55" xfId="0" applyNumberFormat="1" applyFont="1" applyFill="1" applyBorder="1" applyAlignment="1" applyProtection="1">
      <alignment horizontal="center" vertical="center"/>
    </xf>
    <xf numFmtId="0" fontId="7" fillId="29" borderId="62" xfId="0" applyNumberFormat="1" applyFont="1" applyFill="1" applyBorder="1" applyAlignment="1" applyProtection="1">
      <alignment horizontal="center" vertical="center"/>
    </xf>
    <xf numFmtId="0" fontId="7" fillId="29" borderId="63" xfId="0" applyNumberFormat="1" applyFont="1" applyFill="1" applyBorder="1" applyAlignment="1" applyProtection="1">
      <alignment horizontal="center" vertical="center"/>
    </xf>
    <xf numFmtId="0" fontId="7" fillId="29" borderId="72" xfId="0" applyNumberFormat="1" applyFont="1" applyFill="1" applyBorder="1" applyAlignment="1" applyProtection="1">
      <alignment horizontal="center" vertical="center"/>
    </xf>
    <xf numFmtId="0" fontId="8" fillId="24" borderId="35" xfId="0" applyNumberFormat="1" applyFont="1" applyFill="1" applyBorder="1" applyAlignment="1" applyProtection="1">
      <alignment horizontal="center" vertical="center" wrapText="1"/>
    </xf>
    <xf numFmtId="0" fontId="8" fillId="24" borderId="38" xfId="0" applyNumberFormat="1" applyFont="1" applyFill="1" applyBorder="1" applyAlignment="1" applyProtection="1">
      <alignment horizontal="center" vertical="center"/>
    </xf>
    <xf numFmtId="0" fontId="8" fillId="24" borderId="55" xfId="0" applyNumberFormat="1" applyFont="1" applyFill="1" applyBorder="1" applyAlignment="1" applyProtection="1">
      <alignment horizontal="center" vertical="center"/>
    </xf>
    <xf numFmtId="0" fontId="7" fillId="29" borderId="71" xfId="0" applyNumberFormat="1" applyFont="1" applyFill="1" applyBorder="1" applyAlignment="1" applyProtection="1">
      <alignment horizontal="center" vertical="center"/>
    </xf>
    <xf numFmtId="0" fontId="8" fillId="28" borderId="39" xfId="0" applyNumberFormat="1" applyFont="1" applyFill="1" applyBorder="1" applyAlignment="1" applyProtection="1">
      <alignment horizontal="center" vertical="center"/>
    </xf>
    <xf numFmtId="0" fontId="7" fillId="28" borderId="39" xfId="0" applyNumberFormat="1" applyFont="1" applyFill="1" applyBorder="1" applyAlignment="1" applyProtection="1">
      <alignment horizontal="center" vertical="center"/>
    </xf>
    <xf numFmtId="0" fontId="8" fillId="27" borderId="59" xfId="0" applyNumberFormat="1" applyFont="1" applyFill="1" applyBorder="1" applyAlignment="1" applyProtection="1">
      <alignment horizontal="center" vertical="center"/>
    </xf>
    <xf numFmtId="0" fontId="8" fillId="27" borderId="61" xfId="0" applyNumberFormat="1" applyFont="1" applyFill="1" applyBorder="1" applyAlignment="1" applyProtection="1">
      <alignment horizontal="center" vertical="center"/>
    </xf>
    <xf numFmtId="0" fontId="7" fillId="0" borderId="73" xfId="0" applyNumberFormat="1" applyFont="1" applyFill="1" applyBorder="1" applyAlignment="1" applyProtection="1">
      <alignment vertical="top"/>
    </xf>
    <xf numFmtId="0" fontId="7" fillId="0" borderId="23" xfId="0" applyNumberFormat="1" applyFont="1" applyFill="1" applyBorder="1" applyAlignment="1" applyProtection="1">
      <alignment vertical="top"/>
    </xf>
    <xf numFmtId="0" fontId="7" fillId="0" borderId="55" xfId="0" applyNumberFormat="1" applyFont="1" applyFill="1" applyBorder="1" applyAlignment="1" applyProtection="1">
      <alignment vertical="top"/>
    </xf>
    <xf numFmtId="0" fontId="7" fillId="0" borderId="0" xfId="0" applyNumberFormat="1" applyFont="1" applyFill="1" applyBorder="1" applyAlignment="1" applyProtection="1">
      <alignment horizontal="justify" vertical="center" wrapText="1"/>
    </xf>
    <xf numFmtId="0" fontId="7" fillId="27" borderId="48" xfId="0" applyNumberFormat="1" applyFont="1" applyFill="1" applyBorder="1" applyAlignment="1" applyProtection="1">
      <alignment horizontal="center" vertical="center"/>
    </xf>
    <xf numFmtId="0" fontId="7" fillId="27" borderId="19" xfId="0" applyNumberFormat="1" applyFont="1" applyFill="1" applyBorder="1" applyAlignment="1" applyProtection="1">
      <alignment horizontal="center" vertical="center"/>
    </xf>
    <xf numFmtId="0" fontId="8" fillId="27" borderId="53" xfId="0" applyNumberFormat="1" applyFont="1" applyFill="1" applyBorder="1" applyAlignment="1" applyProtection="1">
      <alignment horizontal="center" vertical="center"/>
    </xf>
    <xf numFmtId="0" fontId="7" fillId="24" borderId="39" xfId="0" applyNumberFormat="1" applyFont="1" applyFill="1" applyBorder="1" applyAlignment="1" applyProtection="1">
      <alignment horizontal="center" vertical="center" wrapText="1"/>
    </xf>
    <xf numFmtId="0" fontId="7" fillId="24" borderId="18" xfId="0" applyNumberFormat="1" applyFont="1" applyFill="1" applyBorder="1" applyAlignment="1" applyProtection="1">
      <alignment horizontal="center" vertical="center" wrapText="1"/>
    </xf>
    <xf numFmtId="0" fontId="7" fillId="24" borderId="17" xfId="0" applyNumberFormat="1" applyFont="1" applyFill="1" applyBorder="1" applyAlignment="1" applyProtection="1">
      <alignment horizontal="center" vertical="center" wrapText="1"/>
    </xf>
    <xf numFmtId="0" fontId="7" fillId="24" borderId="11" xfId="0" applyNumberFormat="1" applyFont="1" applyFill="1" applyBorder="1" applyAlignment="1" applyProtection="1">
      <alignment horizontal="center" vertical="center" wrapText="1"/>
    </xf>
    <xf numFmtId="0" fontId="7" fillId="24" borderId="89" xfId="0" applyNumberFormat="1" applyFont="1" applyFill="1" applyBorder="1" applyAlignment="1" applyProtection="1"/>
    <xf numFmtId="0" fontId="7" fillId="24" borderId="64" xfId="0" applyNumberFormat="1" applyFont="1" applyFill="1" applyBorder="1" applyAlignment="1" applyProtection="1">
      <alignment horizontal="center" vertical="center" wrapText="1"/>
    </xf>
    <xf numFmtId="0" fontId="7" fillId="24" borderId="75" xfId="0" applyNumberFormat="1" applyFont="1" applyFill="1" applyBorder="1" applyAlignment="1" applyProtection="1">
      <alignment horizontal="center" vertical="center" wrapText="1"/>
    </xf>
    <xf numFmtId="0" fontId="44" fillId="31" borderId="52" xfId="47" applyNumberFormat="1" applyFont="1" applyFill="1" applyBorder="1" applyAlignment="1" applyProtection="1">
      <alignment horizontal="left" vertical="center" wrapText="1"/>
      <protection locked="0" hidden="1"/>
    </xf>
    <xf numFmtId="0" fontId="8" fillId="27" borderId="52" xfId="0" applyNumberFormat="1" applyFont="1" applyFill="1" applyBorder="1" applyAlignment="1" applyProtection="1">
      <alignment horizontal="center" vertical="center"/>
    </xf>
    <xf numFmtId="0" fontId="7" fillId="28" borderId="26" xfId="0" applyNumberFormat="1" applyFont="1" applyFill="1" applyBorder="1" applyAlignment="1" applyProtection="1">
      <alignment horizontal="center" vertical="center"/>
    </xf>
    <xf numFmtId="0" fontId="7" fillId="24" borderId="30" xfId="0" applyNumberFormat="1" applyFont="1" applyFill="1" applyBorder="1" applyAlignment="1" applyProtection="1">
      <alignment horizontal="center" vertical="center"/>
    </xf>
    <xf numFmtId="0" fontId="7" fillId="28" borderId="10" xfId="0" applyNumberFormat="1" applyFont="1" applyFill="1" applyBorder="1" applyAlignment="1" applyProtection="1">
      <alignment horizontal="center" vertical="center"/>
    </xf>
    <xf numFmtId="0" fontId="8" fillId="27" borderId="20" xfId="0" applyNumberFormat="1" applyFont="1" applyFill="1" applyBorder="1" applyAlignment="1" applyProtection="1">
      <alignment horizontal="center" vertical="center"/>
    </xf>
    <xf numFmtId="0" fontId="8" fillId="27" borderId="22" xfId="0" applyNumberFormat="1" applyFont="1" applyFill="1" applyBorder="1" applyAlignment="1" applyProtection="1">
      <alignment horizontal="center" vertical="center"/>
    </xf>
    <xf numFmtId="0" fontId="8" fillId="27" borderId="21" xfId="0" applyNumberFormat="1" applyFont="1" applyFill="1" applyBorder="1" applyAlignment="1" applyProtection="1">
      <alignment horizontal="center" vertical="center"/>
    </xf>
    <xf numFmtId="0" fontId="7" fillId="24" borderId="10" xfId="0" applyNumberFormat="1" applyFont="1" applyFill="1" applyBorder="1" applyAlignment="1" applyProtection="1">
      <alignment horizontal="center" vertical="center"/>
    </xf>
    <xf numFmtId="0" fontId="7" fillId="28" borderId="72" xfId="0" applyNumberFormat="1" applyFont="1" applyFill="1" applyBorder="1" applyAlignment="1" applyProtection="1">
      <alignment horizontal="center" vertical="center"/>
    </xf>
    <xf numFmtId="0" fontId="8" fillId="27" borderId="36" xfId="0" applyNumberFormat="1" applyFont="1" applyFill="1" applyBorder="1" applyAlignment="1" applyProtection="1">
      <alignment horizontal="center" vertical="center"/>
    </xf>
    <xf numFmtId="0" fontId="8" fillId="27" borderId="56" xfId="0" applyNumberFormat="1" applyFont="1" applyFill="1" applyBorder="1" applyAlignment="1" applyProtection="1">
      <alignment horizontal="center" vertical="center"/>
    </xf>
    <xf numFmtId="0" fontId="8" fillId="27" borderId="84" xfId="0" applyNumberFormat="1" applyFont="1" applyFill="1" applyBorder="1" applyAlignment="1" applyProtection="1">
      <alignment horizontal="center" vertical="center"/>
    </xf>
    <xf numFmtId="0" fontId="8" fillId="27" borderId="58" xfId="0" applyNumberFormat="1" applyFont="1" applyFill="1" applyBorder="1" applyAlignment="1" applyProtection="1">
      <alignment horizontal="center" vertical="center"/>
    </xf>
    <xf numFmtId="0" fontId="7" fillId="24" borderId="51" xfId="0" applyNumberFormat="1" applyFont="1" applyFill="1" applyBorder="1" applyAlignment="1" applyProtection="1">
      <alignment horizontal="center" vertical="center"/>
    </xf>
    <xf numFmtId="0" fontId="8" fillId="27" borderId="42" xfId="0" applyNumberFormat="1" applyFont="1" applyFill="1" applyBorder="1" applyAlignment="1" applyProtection="1">
      <alignment horizontal="center" vertical="center" wrapText="1"/>
    </xf>
    <xf numFmtId="0" fontId="8" fillId="27" borderId="40" xfId="0" applyNumberFormat="1" applyFont="1" applyFill="1" applyBorder="1" applyAlignment="1" applyProtection="1">
      <alignment horizontal="center" vertical="center" wrapText="1"/>
    </xf>
    <xf numFmtId="0" fontId="8" fillId="27" borderId="25" xfId="0" applyNumberFormat="1" applyFont="1" applyFill="1" applyBorder="1" applyAlignment="1" applyProtection="1">
      <alignment horizontal="center" vertical="center" wrapText="1"/>
    </xf>
    <xf numFmtId="0" fontId="42" fillId="27" borderId="37" xfId="0" applyNumberFormat="1" applyFont="1" applyFill="1" applyBorder="1" applyAlignment="1" applyProtection="1">
      <alignment horizontal="left" vertical="top" wrapText="1"/>
    </xf>
    <xf numFmtId="0" fontId="8" fillId="27" borderId="53" xfId="0" applyNumberFormat="1" applyFont="1" applyFill="1" applyBorder="1" applyAlignment="1" applyProtection="1">
      <alignment horizontal="center" vertical="center" wrapText="1"/>
    </xf>
    <xf numFmtId="0" fontId="8" fillId="27" borderId="37" xfId="0" applyNumberFormat="1" applyFont="1" applyFill="1" applyBorder="1" applyAlignment="1" applyProtection="1">
      <alignment horizontal="center" vertical="center" wrapText="1"/>
    </xf>
    <xf numFmtId="0" fontId="8" fillId="27" borderId="60" xfId="0" applyNumberFormat="1" applyFont="1" applyFill="1" applyBorder="1" applyAlignment="1" applyProtection="1">
      <alignment horizontal="center" vertical="center" wrapText="1"/>
    </xf>
    <xf numFmtId="0" fontId="8" fillId="27" borderId="57" xfId="0" applyNumberFormat="1" applyFont="1" applyFill="1" applyBorder="1" applyAlignment="1" applyProtection="1">
      <alignment horizontal="center" vertical="center" wrapText="1"/>
    </xf>
    <xf numFmtId="0" fontId="8" fillId="27" borderId="59" xfId="0" applyNumberFormat="1" applyFont="1" applyFill="1" applyBorder="1" applyAlignment="1" applyProtection="1">
      <alignment horizontal="center" vertical="center" wrapText="1"/>
    </xf>
    <xf numFmtId="0" fontId="8" fillId="27" borderId="61" xfId="0" applyNumberFormat="1" applyFont="1" applyFill="1" applyBorder="1" applyAlignment="1" applyProtection="1">
      <alignment horizontal="center" vertical="center" wrapText="1"/>
    </xf>
    <xf numFmtId="0" fontId="8" fillId="27" borderId="59" xfId="0" applyNumberFormat="1" applyFont="1" applyFill="1" applyBorder="1" applyAlignment="1" applyProtection="1">
      <alignment horizontal="center"/>
    </xf>
    <xf numFmtId="0" fontId="8" fillId="27" borderId="37" xfId="0" applyNumberFormat="1" applyFont="1" applyFill="1" applyBorder="1" applyAlignment="1" applyProtection="1">
      <alignment horizontal="left" vertical="center" wrapText="1"/>
    </xf>
    <xf numFmtId="0" fontId="8" fillId="27" borderId="37" xfId="0" applyNumberFormat="1" applyFont="1" applyFill="1" applyBorder="1" applyAlignment="1" applyProtection="1">
      <alignment horizontal="center"/>
    </xf>
    <xf numFmtId="0" fontId="32" fillId="24" borderId="40" xfId="36" applyNumberFormat="1" applyFont="1" applyFill="1" applyBorder="1" applyAlignment="1" applyProtection="1">
      <alignment horizontal="center" vertical="center" textRotation="90"/>
    </xf>
    <xf numFmtId="0" fontId="36" fillId="30" borderId="37" xfId="36" applyNumberFormat="1" applyFont="1" applyFill="1" applyBorder="1" applyAlignment="1" applyProtection="1">
      <alignment horizontal="center" vertical="center"/>
    </xf>
    <xf numFmtId="0" fontId="36" fillId="24" borderId="37" xfId="36" applyNumberFormat="1" applyFont="1" applyFill="1" applyBorder="1" applyAlignment="1" applyProtection="1">
      <alignment horizontal="center" vertical="center"/>
    </xf>
    <xf numFmtId="0" fontId="36" fillId="26" borderId="31" xfId="36" applyNumberFormat="1" applyFont="1" applyFill="1" applyBorder="1" applyAlignment="1" applyProtection="1">
      <alignment horizontal="center" vertical="center"/>
    </xf>
    <xf numFmtId="0" fontId="36" fillId="24" borderId="31" xfId="36" applyNumberFormat="1" applyFont="1" applyFill="1" applyBorder="1" applyAlignment="1" applyProtection="1">
      <alignment horizontal="center" vertical="center"/>
    </xf>
    <xf numFmtId="0" fontId="36" fillId="26" borderId="37" xfId="36" applyNumberFormat="1" applyFont="1" applyFill="1" applyBorder="1" applyAlignment="1" applyProtection="1">
      <alignment horizontal="center" vertical="center"/>
    </xf>
    <xf numFmtId="0" fontId="36" fillId="25" borderId="40" xfId="36" applyNumberFormat="1" applyFont="1" applyFill="1" applyBorder="1" applyAlignment="1" applyProtection="1">
      <alignment horizontal="center" vertical="center"/>
    </xf>
    <xf numFmtId="0" fontId="32" fillId="25" borderId="40" xfId="36" applyNumberFormat="1" applyFont="1" applyFill="1" applyBorder="1" applyAlignment="1" applyProtection="1">
      <alignment horizontal="center" vertical="center"/>
    </xf>
    <xf numFmtId="0" fontId="36" fillId="25" borderId="37" xfId="36" applyNumberFormat="1" applyFont="1" applyFill="1" applyBorder="1" applyAlignment="1" applyProtection="1">
      <alignment horizontal="center" vertical="center"/>
    </xf>
    <xf numFmtId="0" fontId="32" fillId="24" borderId="37" xfId="36" applyNumberFormat="1" applyFont="1" applyFill="1" applyBorder="1" applyAlignment="1" applyProtection="1">
      <alignment horizontal="center" vertical="center"/>
    </xf>
    <xf numFmtId="0" fontId="32" fillId="30" borderId="37" xfId="36" applyNumberFormat="1" applyFont="1" applyFill="1" applyBorder="1" applyAlignment="1" applyProtection="1">
      <alignment horizontal="center" vertical="center"/>
    </xf>
    <xf numFmtId="0" fontId="32" fillId="26" borderId="37" xfId="36" applyNumberFormat="1" applyFont="1" applyFill="1" applyBorder="1" applyAlignment="1" applyProtection="1">
      <alignment horizontal="center" vertical="center"/>
    </xf>
    <xf numFmtId="0" fontId="32" fillId="25" borderId="37" xfId="36" applyNumberFormat="1" applyFont="1" applyFill="1" applyBorder="1" applyAlignment="1" applyProtection="1">
      <alignment horizontal="center" vertical="center"/>
    </xf>
    <xf numFmtId="0" fontId="36" fillId="25" borderId="31" xfId="36" applyNumberFormat="1" applyFont="1" applyFill="1" applyBorder="1" applyAlignment="1" applyProtection="1">
      <alignment horizontal="center" vertical="center"/>
    </xf>
    <xf numFmtId="0" fontId="32" fillId="24" borderId="31" xfId="36" applyNumberFormat="1" applyFont="1" applyFill="1" applyBorder="1" applyAlignment="1" applyProtection="1">
      <alignment horizontal="center" vertical="center"/>
    </xf>
    <xf numFmtId="0" fontId="32" fillId="30" borderId="31" xfId="36" applyNumberFormat="1" applyFont="1" applyFill="1" applyBorder="1" applyAlignment="1" applyProtection="1">
      <alignment horizontal="center" vertical="center"/>
    </xf>
    <xf numFmtId="0" fontId="32" fillId="26" borderId="31" xfId="36" applyNumberFormat="1" applyFont="1" applyFill="1" applyBorder="1" applyAlignment="1" applyProtection="1">
      <alignment horizontal="center" vertical="center"/>
    </xf>
    <xf numFmtId="0" fontId="32" fillId="25" borderId="31" xfId="36" applyNumberFormat="1" applyFont="1" applyFill="1" applyBorder="1" applyAlignment="1" applyProtection="1">
      <alignment horizontal="center" vertical="center"/>
    </xf>
    <xf numFmtId="0" fontId="8" fillId="26" borderId="57" xfId="0" applyNumberFormat="1" applyFont="1" applyFill="1" applyBorder="1" applyAlignment="1" applyProtection="1">
      <alignment horizontal="center" vertical="center"/>
    </xf>
    <xf numFmtId="0" fontId="8" fillId="26" borderId="52" xfId="0" applyNumberFormat="1" applyFont="1" applyFill="1" applyBorder="1" applyAlignment="1" applyProtection="1">
      <alignment horizontal="center" vertical="center"/>
    </xf>
    <xf numFmtId="0" fontId="8" fillId="26" borderId="61" xfId="0" applyNumberFormat="1" applyFont="1" applyFill="1" applyBorder="1" applyAlignment="1" applyProtection="1">
      <alignment horizontal="center" vertical="center"/>
    </xf>
    <xf numFmtId="0" fontId="8" fillId="26" borderId="44" xfId="0" applyNumberFormat="1" applyFont="1" applyFill="1" applyBorder="1" applyAlignment="1" applyProtection="1">
      <alignment horizontal="center" vertical="center"/>
    </xf>
    <xf numFmtId="0" fontId="8" fillId="26" borderId="18" xfId="0" applyNumberFormat="1" applyFont="1" applyFill="1" applyBorder="1" applyAlignment="1" applyProtection="1">
      <alignment horizontal="center" vertical="center"/>
    </xf>
    <xf numFmtId="0" fontId="8" fillId="26" borderId="54" xfId="0" applyNumberFormat="1" applyFont="1" applyFill="1" applyBorder="1" applyAlignment="1" applyProtection="1">
      <alignment horizontal="center" vertical="center"/>
    </xf>
    <xf numFmtId="0" fontId="8" fillId="26" borderId="62" xfId="0" applyNumberFormat="1" applyFont="1" applyFill="1" applyBorder="1" applyAlignment="1" applyProtection="1">
      <alignment horizontal="center" vertical="center"/>
    </xf>
    <xf numFmtId="0" fontId="8" fillId="26" borderId="16" xfId="0" applyNumberFormat="1" applyFont="1" applyFill="1" applyBorder="1" applyAlignment="1" applyProtection="1">
      <alignment horizontal="center" vertical="center"/>
    </xf>
    <xf numFmtId="0" fontId="8" fillId="26" borderId="17" xfId="0" applyNumberFormat="1" applyFont="1" applyFill="1" applyBorder="1" applyAlignment="1" applyProtection="1">
      <alignment horizontal="center" vertical="center"/>
    </xf>
    <xf numFmtId="1" fontId="7" fillId="27" borderId="62" xfId="0" applyNumberFormat="1" applyFont="1" applyFill="1" applyBorder="1" applyAlignment="1" applyProtection="1">
      <alignment horizontal="center" vertical="center"/>
    </xf>
    <xf numFmtId="1" fontId="7" fillId="27" borderId="82" xfId="0" applyNumberFormat="1" applyFont="1" applyFill="1" applyBorder="1" applyAlignment="1" applyProtection="1">
      <alignment horizontal="center" vertical="center"/>
    </xf>
    <xf numFmtId="0" fontId="1" fillId="0" borderId="0" xfId="46" applyAlignment="1"/>
    <xf numFmtId="0" fontId="4" fillId="0" borderId="44" xfId="46" applyNumberFormat="1" applyFont="1" applyFill="1" applyBorder="1" applyAlignment="1" applyProtection="1">
      <alignment horizontal="center" vertical="center" wrapText="1"/>
    </xf>
    <xf numFmtId="0" fontId="4" fillId="0" borderId="18" xfId="46" applyNumberFormat="1" applyFont="1" applyFill="1" applyBorder="1" applyAlignment="1" applyProtection="1">
      <alignment horizontal="center" vertical="center" wrapText="1"/>
    </xf>
    <xf numFmtId="0" fontId="4" fillId="0" borderId="17" xfId="46" applyNumberFormat="1" applyFont="1" applyFill="1" applyBorder="1" applyAlignment="1" applyProtection="1">
      <alignment horizontal="center" vertical="center" wrapText="1"/>
    </xf>
    <xf numFmtId="0" fontId="4" fillId="0" borderId="15" xfId="46" applyNumberFormat="1" applyFont="1" applyFill="1" applyBorder="1" applyAlignment="1" applyProtection="1">
      <alignment horizontal="left" vertical="top" wrapText="1"/>
    </xf>
    <xf numFmtId="0" fontId="4" fillId="0" borderId="13" xfId="46" applyNumberFormat="1" applyFont="1" applyFill="1" applyBorder="1" applyAlignment="1" applyProtection="1">
      <alignment horizontal="left" vertical="top" wrapText="1"/>
    </xf>
    <xf numFmtId="0" fontId="4" fillId="0" borderId="33" xfId="46" applyNumberFormat="1" applyFont="1" applyFill="1" applyBorder="1" applyAlignment="1" applyProtection="1">
      <alignment horizontal="center" vertical="center" wrapText="1"/>
    </xf>
    <xf numFmtId="0" fontId="4" fillId="0" borderId="15" xfId="46" applyNumberFormat="1" applyFont="1" applyFill="1" applyBorder="1" applyAlignment="1" applyProtection="1">
      <alignment horizontal="center" vertical="center" wrapText="1"/>
    </xf>
    <xf numFmtId="0" fontId="45" fillId="0" borderId="13" xfId="46" applyFont="1" applyBorder="1" applyAlignment="1">
      <alignment vertical="center"/>
    </xf>
    <xf numFmtId="0" fontId="46" fillId="0" borderId="13" xfId="46" applyFont="1" applyBorder="1" applyAlignment="1">
      <alignment vertical="center"/>
    </xf>
    <xf numFmtId="0" fontId="4" fillId="0" borderId="13" xfId="46" applyNumberFormat="1" applyFont="1" applyFill="1" applyBorder="1" applyAlignment="1" applyProtection="1">
      <alignment horizontal="center" vertical="top" wrapText="1"/>
    </xf>
    <xf numFmtId="0" fontId="4" fillId="0" borderId="22" xfId="46" applyNumberFormat="1" applyFont="1" applyFill="1" applyBorder="1" applyAlignment="1" applyProtection="1">
      <alignment horizontal="center" vertical="top" wrapText="1"/>
    </xf>
    <xf numFmtId="0" fontId="4" fillId="0" borderId="0" xfId="46" applyNumberFormat="1" applyFont="1" applyFill="1" applyBorder="1" applyAlignment="1" applyProtection="1">
      <alignment vertical="top" wrapText="1"/>
    </xf>
    <xf numFmtId="0" fontId="4" fillId="0" borderId="0" xfId="46" applyNumberFormat="1" applyFont="1" applyFill="1" applyBorder="1" applyAlignment="1" applyProtection="1">
      <alignment horizontal="left" vertical="top" wrapText="1"/>
    </xf>
    <xf numFmtId="0" fontId="47" fillId="0" borderId="0" xfId="46" applyFont="1" applyAlignment="1"/>
    <xf numFmtId="0" fontId="4" fillId="0" borderId="15" xfId="46" applyNumberFormat="1" applyFont="1" applyFill="1" applyBorder="1" applyAlignment="1" applyProtection="1">
      <alignment horizontal="center" vertical="top" wrapText="1"/>
    </xf>
    <xf numFmtId="0" fontId="3" fillId="0" borderId="0" xfId="46" applyNumberFormat="1" applyFont="1" applyFill="1" applyBorder="1" applyAlignment="1" applyProtection="1">
      <alignment vertical="top" wrapText="1"/>
    </xf>
    <xf numFmtId="0" fontId="45" fillId="0" borderId="0" xfId="46" applyFont="1" applyAlignment="1">
      <alignment vertical="center"/>
    </xf>
    <xf numFmtId="0" fontId="46" fillId="0" borderId="0" xfId="46" applyFont="1" applyAlignment="1">
      <alignment vertical="center"/>
    </xf>
    <xf numFmtId="0" fontId="3" fillId="0" borderId="0" xfId="46" applyNumberFormat="1" applyFont="1" applyFill="1" applyBorder="1" applyAlignment="1" applyProtection="1">
      <alignment horizontal="left" vertical="top" wrapText="1"/>
    </xf>
    <xf numFmtId="0" fontId="3" fillId="0" borderId="11" xfId="46" applyFont="1" applyBorder="1" applyAlignment="1">
      <alignment horizontal="left"/>
    </xf>
    <xf numFmtId="0" fontId="4" fillId="0" borderId="11" xfId="46" applyFont="1" applyBorder="1" applyAlignment="1"/>
    <xf numFmtId="0" fontId="8" fillId="0" borderId="0" xfId="46" applyNumberFormat="1" applyFont="1" applyFill="1" applyBorder="1" applyAlignment="1" applyProtection="1">
      <alignment horizontal="center" vertical="top" wrapText="1"/>
    </xf>
    <xf numFmtId="0" fontId="7" fillId="0" borderId="0" xfId="46" applyNumberFormat="1" applyFont="1" applyFill="1" applyBorder="1" applyAlignment="1" applyProtection="1">
      <alignment horizontal="left" vertical="top" wrapText="1"/>
    </xf>
    <xf numFmtId="0" fontId="48" fillId="32" borderId="13" xfId="0" applyFont="1" applyFill="1" applyBorder="1" applyAlignment="1" applyProtection="1">
      <alignment horizontal="left" vertical="center"/>
      <protection locked="0"/>
    </xf>
    <xf numFmtId="0" fontId="28" fillId="24" borderId="0" xfId="0" applyFont="1" applyFill="1" applyAlignment="1"/>
    <xf numFmtId="0" fontId="28" fillId="24" borderId="0" xfId="46" applyFont="1" applyFill="1" applyAlignment="1"/>
    <xf numFmtId="0" fontId="28" fillId="32" borderId="13" xfId="0" applyFont="1" applyFill="1" applyBorder="1" applyAlignment="1" applyProtection="1">
      <alignment horizontal="left" vertical="top" wrapText="1"/>
      <protection locked="0"/>
    </xf>
    <xf numFmtId="0" fontId="48" fillId="24" borderId="13" xfId="0" applyFont="1" applyFill="1" applyBorder="1" applyAlignment="1">
      <alignment horizontal="left" vertical="center" wrapText="1"/>
    </xf>
    <xf numFmtId="0" fontId="3" fillId="0" borderId="43" xfId="36" applyNumberFormat="1" applyFont="1" applyFill="1" applyBorder="1" applyAlignment="1" applyProtection="1">
      <alignment horizontal="center" vertical="top" wrapText="1"/>
    </xf>
    <xf numFmtId="0" fontId="35" fillId="0" borderId="43" xfId="36" applyNumberFormat="1" applyFont="1" applyFill="1" applyBorder="1" applyAlignment="1" applyProtection="1">
      <alignment vertical="top" wrapText="1"/>
    </xf>
    <xf numFmtId="0" fontId="6" fillId="0" borderId="0" xfId="36" applyNumberFormat="1" applyFont="1" applyFill="1" applyBorder="1" applyAlignment="1" applyProtection="1">
      <alignment horizontal="center" vertical="top" wrapText="1"/>
    </xf>
    <xf numFmtId="0" fontId="32" fillId="0" borderId="0" xfId="36" applyNumberFormat="1" applyFont="1" applyFill="1" applyBorder="1" applyAlignment="1" applyProtection="1">
      <alignment horizontal="center" vertical="top"/>
    </xf>
    <xf numFmtId="0" fontId="30" fillId="0" borderId="0" xfId="36" applyNumberFormat="1" applyFont="1" applyFill="1" applyBorder="1" applyAlignment="1" applyProtection="1">
      <alignment horizontal="center" vertical="center" wrapText="1"/>
    </xf>
    <xf numFmtId="0" fontId="28" fillId="0" borderId="0" xfId="36" applyNumberFormat="1" applyFont="1" applyFill="1" applyBorder="1" applyAlignment="1" applyProtection="1">
      <alignment horizontal="left" wrapText="1"/>
    </xf>
    <xf numFmtId="0" fontId="28" fillId="0" borderId="0" xfId="36" applyNumberFormat="1" applyFont="1" applyFill="1" applyBorder="1" applyAlignment="1" applyProtection="1">
      <alignment horizontal="center" vertical="top"/>
    </xf>
    <xf numFmtId="0" fontId="33" fillId="0" borderId="0" xfId="36" applyNumberFormat="1" applyFont="1" applyFill="1" applyBorder="1" applyAlignment="1" applyProtection="1">
      <alignment horizontal="center" vertical="top"/>
    </xf>
    <xf numFmtId="0" fontId="30" fillId="0" borderId="0" xfId="36" applyNumberFormat="1" applyFont="1" applyFill="1" applyBorder="1" applyAlignment="1" applyProtection="1">
      <alignment horizontal="center" vertical="top" wrapText="1"/>
    </xf>
    <xf numFmtId="0" fontId="28" fillId="0" borderId="0" xfId="36" applyNumberFormat="1" applyFont="1" applyFill="1" applyBorder="1" applyAlignment="1" applyProtection="1">
      <alignment horizontal="left" vertical="top" wrapText="1"/>
    </xf>
    <xf numFmtId="0" fontId="30" fillId="0" borderId="0" xfId="36" applyNumberFormat="1" applyFont="1" applyFill="1" applyBorder="1" applyAlignment="1" applyProtection="1">
      <alignment horizontal="center" vertical="top"/>
    </xf>
    <xf numFmtId="0" fontId="34" fillId="0" borderId="0" xfId="36" applyNumberFormat="1" applyFont="1" applyFill="1" applyBorder="1" applyAlignment="1" applyProtection="1">
      <alignment horizontal="center" vertical="top"/>
    </xf>
    <xf numFmtId="0" fontId="28" fillId="0" borderId="0" xfId="36" applyNumberFormat="1" applyFont="1" applyFill="1" applyBorder="1" applyAlignment="1" applyProtection="1">
      <alignment horizontal="center" vertical="top" wrapText="1"/>
    </xf>
    <xf numFmtId="0" fontId="28" fillId="0" borderId="0" xfId="36" applyNumberFormat="1" applyFont="1" applyFill="1" applyBorder="1" applyAlignment="1" applyProtection="1">
      <alignment horizontal="left" vertical="top"/>
    </xf>
    <xf numFmtId="0" fontId="32" fillId="24" borderId="45" xfId="36" applyNumberFormat="1" applyFont="1" applyFill="1" applyBorder="1" applyAlignment="1" applyProtection="1">
      <alignment horizontal="center" vertical="center"/>
    </xf>
    <xf numFmtId="0" fontId="32" fillId="24" borderId="41" xfId="36" applyNumberFormat="1" applyFont="1" applyFill="1" applyBorder="1" applyAlignment="1" applyProtection="1">
      <alignment horizontal="center" vertical="center"/>
    </xf>
    <xf numFmtId="0" fontId="32" fillId="24" borderId="42" xfId="36" applyNumberFormat="1" applyFont="1" applyFill="1" applyBorder="1" applyAlignment="1" applyProtection="1">
      <alignment horizontal="center" vertical="center"/>
    </xf>
    <xf numFmtId="0" fontId="32" fillId="24" borderId="14" xfId="36" applyNumberFormat="1" applyFont="1" applyFill="1" applyBorder="1" applyAlignment="1" applyProtection="1">
      <alignment horizontal="center" vertical="center"/>
    </xf>
    <xf numFmtId="0" fontId="32" fillId="24" borderId="27" xfId="36" applyNumberFormat="1" applyFont="1" applyFill="1" applyBorder="1" applyAlignment="1" applyProtection="1">
      <alignment horizontal="center" vertical="center"/>
    </xf>
    <xf numFmtId="0" fontId="32" fillId="24" borderId="28" xfId="36" applyNumberFormat="1" applyFont="1" applyFill="1" applyBorder="1" applyAlignment="1" applyProtection="1">
      <alignment horizontal="center" vertical="center"/>
    </xf>
    <xf numFmtId="0" fontId="28" fillId="24" borderId="0" xfId="36" applyNumberFormat="1" applyFont="1" applyFill="1" applyBorder="1" applyAlignment="1" applyProtection="1">
      <alignment horizontal="left" vertical="top"/>
    </xf>
    <xf numFmtId="0" fontId="8" fillId="0" borderId="43" xfId="36" applyNumberFormat="1" applyFont="1" applyFill="1" applyBorder="1" applyAlignment="1" applyProtection="1">
      <alignment horizontal="center" vertical="center"/>
    </xf>
    <xf numFmtId="0" fontId="32" fillId="24" borderId="44" xfId="36" applyNumberFormat="1" applyFont="1" applyFill="1" applyBorder="1" applyAlignment="1" applyProtection="1">
      <alignment horizontal="center" vertical="distributed" textRotation="90"/>
    </xf>
    <xf numFmtId="0" fontId="32" fillId="24" borderId="17" xfId="36" applyNumberFormat="1" applyFont="1" applyFill="1" applyBorder="1" applyAlignment="1" applyProtection="1">
      <alignment horizontal="center" vertical="distributed" textRotation="90"/>
    </xf>
    <xf numFmtId="0" fontId="32" fillId="24" borderId="15" xfId="36" applyNumberFormat="1" applyFont="1" applyFill="1" applyBorder="1" applyAlignment="1" applyProtection="1">
      <alignment horizontal="center" vertical="distributed" textRotation="90"/>
    </xf>
    <xf numFmtId="0" fontId="32" fillId="24" borderId="11" xfId="36" applyNumberFormat="1" applyFont="1" applyFill="1" applyBorder="1" applyAlignment="1" applyProtection="1">
      <alignment horizontal="center" vertical="distributed" textRotation="90"/>
    </xf>
    <xf numFmtId="0" fontId="32" fillId="24" borderId="64" xfId="36" applyNumberFormat="1" applyFont="1" applyFill="1" applyBorder="1" applyAlignment="1" applyProtection="1">
      <alignment horizontal="center" vertical="distributed" textRotation="90"/>
    </xf>
    <xf numFmtId="0" fontId="32" fillId="24" borderId="75" xfId="36" applyNumberFormat="1" applyFont="1" applyFill="1" applyBorder="1" applyAlignment="1" applyProtection="1">
      <alignment horizontal="center" vertical="distributed" textRotation="90"/>
    </xf>
    <xf numFmtId="0" fontId="32" fillId="24" borderId="40" xfId="36" applyNumberFormat="1" applyFont="1" applyFill="1" applyBorder="1" applyAlignment="1" applyProtection="1">
      <alignment horizontal="center" vertical="center" textRotation="90"/>
    </xf>
    <xf numFmtId="0" fontId="32" fillId="24" borderId="12" xfId="36" applyNumberFormat="1" applyFont="1" applyFill="1" applyBorder="1" applyAlignment="1" applyProtection="1">
      <alignment horizontal="center" vertical="center" textRotation="90"/>
    </xf>
    <xf numFmtId="0" fontId="36" fillId="0" borderId="17" xfId="36" applyNumberFormat="1" applyFont="1" applyFill="1" applyBorder="1" applyAlignment="1" applyProtection="1">
      <alignment horizontal="center" vertical="center" textRotation="90"/>
    </xf>
    <xf numFmtId="0" fontId="36" fillId="0" borderId="11" xfId="36" applyNumberFormat="1" applyFont="1" applyFill="1" applyBorder="1" applyAlignment="1" applyProtection="1">
      <alignment horizontal="center" vertical="center" textRotation="90"/>
    </xf>
    <xf numFmtId="0" fontId="36" fillId="0" borderId="21" xfId="36" applyNumberFormat="1" applyFont="1" applyFill="1" applyBorder="1" applyAlignment="1" applyProtection="1">
      <alignment horizontal="center" vertical="center" textRotation="90"/>
    </xf>
    <xf numFmtId="0" fontId="36" fillId="0" borderId="33" xfId="36" applyNumberFormat="1" applyFont="1" applyFill="1" applyBorder="1" applyAlignment="1" applyProtection="1">
      <alignment horizontal="center" vertical="center" textRotation="90" wrapText="1"/>
    </xf>
    <xf numFmtId="0" fontId="36" fillId="0" borderId="13" xfId="36" applyNumberFormat="1" applyFont="1" applyFill="1" applyBorder="1" applyAlignment="1" applyProtection="1">
      <alignment horizontal="center" vertical="center" textRotation="90" wrapText="1"/>
    </xf>
    <xf numFmtId="0" fontId="36" fillId="0" borderId="22" xfId="36" applyNumberFormat="1" applyFont="1" applyFill="1" applyBorder="1" applyAlignment="1" applyProtection="1">
      <alignment horizontal="center" vertical="center" textRotation="90" wrapText="1"/>
    </xf>
    <xf numFmtId="0" fontId="36" fillId="0" borderId="29" xfId="36" applyNumberFormat="1" applyFont="1" applyFill="1" applyBorder="1" applyAlignment="1" applyProtection="1">
      <alignment horizontal="center" vertical="center" textRotation="90" wrapText="1"/>
    </xf>
    <xf numFmtId="0" fontId="36" fillId="0" borderId="46" xfId="36" applyNumberFormat="1" applyFont="1" applyFill="1" applyBorder="1" applyAlignment="1" applyProtection="1">
      <alignment horizontal="center" vertical="center" textRotation="90" wrapText="1"/>
    </xf>
    <xf numFmtId="0" fontId="32" fillId="24" borderId="47" xfId="36" applyNumberFormat="1" applyFont="1" applyFill="1" applyBorder="1" applyAlignment="1" applyProtection="1">
      <alignment horizontal="center" vertical="center"/>
    </xf>
    <xf numFmtId="0" fontId="32" fillId="24" borderId="48" xfId="36" applyNumberFormat="1" applyFont="1" applyFill="1" applyBorder="1" applyAlignment="1" applyProtection="1">
      <alignment horizontal="center" vertical="center"/>
    </xf>
    <xf numFmtId="0" fontId="32" fillId="0" borderId="44" xfId="36" applyNumberFormat="1" applyFont="1" applyFill="1" applyBorder="1" applyAlignment="1" applyProtection="1">
      <alignment horizontal="center" vertical="center" textRotation="90"/>
    </xf>
    <xf numFmtId="0" fontId="32" fillId="0" borderId="15" xfId="36" applyNumberFormat="1" applyFont="1" applyFill="1" applyBorder="1" applyAlignment="1" applyProtection="1">
      <alignment horizontal="center" vertical="center" textRotation="90"/>
    </xf>
    <xf numFmtId="0" fontId="32" fillId="0" borderId="20" xfId="36" applyNumberFormat="1" applyFont="1" applyFill="1" applyBorder="1" applyAlignment="1" applyProtection="1">
      <alignment horizontal="center" vertical="center" textRotation="90"/>
    </xf>
    <xf numFmtId="0" fontId="36" fillId="0" borderId="45" xfId="36" applyNumberFormat="1" applyFont="1" applyFill="1" applyBorder="1" applyAlignment="1" applyProtection="1">
      <alignment horizontal="center" vertical="center" textRotation="90" wrapText="1"/>
    </xf>
    <xf numFmtId="0" fontId="36" fillId="0" borderId="10" xfId="36" applyNumberFormat="1" applyFont="1" applyFill="1" applyBorder="1" applyAlignment="1" applyProtection="1">
      <alignment horizontal="center" vertical="center" textRotation="90" wrapText="1"/>
    </xf>
    <xf numFmtId="0" fontId="2" fillId="0" borderId="10" xfId="36" applyNumberFormat="1" applyFont="1" applyFill="1" applyBorder="1" applyAlignment="1" applyProtection="1">
      <alignment horizontal="center" vertical="center" textRotation="90"/>
    </xf>
    <xf numFmtId="0" fontId="2" fillId="0" borderId="49" xfId="36" applyNumberFormat="1" applyFont="1" applyFill="1" applyBorder="1" applyAlignment="1" applyProtection="1">
      <alignment horizontal="center" vertical="center" textRotation="90"/>
    </xf>
    <xf numFmtId="0" fontId="36" fillId="0" borderId="40" xfId="36" applyNumberFormat="1" applyFont="1" applyFill="1" applyBorder="1" applyAlignment="1" applyProtection="1">
      <alignment horizontal="center" vertical="center" textRotation="90"/>
    </xf>
    <xf numFmtId="0" fontId="36" fillId="0" borderId="12" xfId="36" applyNumberFormat="1" applyFont="1" applyFill="1" applyBorder="1" applyAlignment="1" applyProtection="1">
      <alignment horizontal="center" vertical="center" textRotation="90"/>
    </xf>
    <xf numFmtId="0" fontId="36" fillId="0" borderId="31" xfId="36" applyNumberFormat="1" applyFont="1" applyFill="1" applyBorder="1" applyAlignment="1" applyProtection="1">
      <alignment horizontal="center" vertical="center" textRotation="90"/>
    </xf>
    <xf numFmtId="0" fontId="36" fillId="0" borderId="45" xfId="36" applyNumberFormat="1" applyFont="1" applyFill="1" applyBorder="1" applyAlignment="1" applyProtection="1">
      <alignment horizontal="center" vertical="center" wrapText="1" shrinkToFit="1"/>
    </xf>
    <xf numFmtId="0" fontId="36" fillId="0" borderId="41" xfId="36" applyNumberFormat="1" applyFont="1" applyFill="1" applyBorder="1" applyAlignment="1" applyProtection="1">
      <alignment horizontal="center" vertical="center" wrapText="1" shrinkToFit="1"/>
    </xf>
    <xf numFmtId="0" fontId="36" fillId="0" borderId="14" xfId="36" applyNumberFormat="1" applyFont="1" applyFill="1" applyBorder="1" applyAlignment="1" applyProtection="1">
      <alignment horizontal="center" vertical="center" wrapText="1" shrinkToFit="1"/>
    </xf>
    <xf numFmtId="0" fontId="36" fillId="0" borderId="27" xfId="36" applyNumberFormat="1" applyFont="1" applyFill="1" applyBorder="1" applyAlignment="1" applyProtection="1">
      <alignment horizontal="center" vertical="center" wrapText="1" shrinkToFit="1"/>
    </xf>
    <xf numFmtId="0" fontId="36" fillId="0" borderId="18" xfId="36" applyNumberFormat="1" applyFont="1" applyFill="1" applyBorder="1" applyAlignment="1" applyProtection="1">
      <alignment horizontal="center" vertical="center" textRotation="90"/>
    </xf>
    <xf numFmtId="0" fontId="36" fillId="0" borderId="13" xfId="36" applyNumberFormat="1" applyFont="1" applyFill="1" applyBorder="1" applyAlignment="1" applyProtection="1">
      <alignment horizontal="center" vertical="center" textRotation="90"/>
    </xf>
    <xf numFmtId="0" fontId="36" fillId="0" borderId="22" xfId="36" applyNumberFormat="1" applyFont="1" applyFill="1" applyBorder="1" applyAlignment="1" applyProtection="1">
      <alignment horizontal="center" vertical="center" textRotation="90"/>
    </xf>
    <xf numFmtId="0" fontId="36" fillId="0" borderId="54" xfId="36" applyNumberFormat="1" applyFont="1" applyFill="1" applyBorder="1" applyAlignment="1" applyProtection="1">
      <alignment horizontal="center" vertical="center" textRotation="90"/>
    </xf>
    <xf numFmtId="0" fontId="36" fillId="0" borderId="35" xfId="36" applyNumberFormat="1" applyFont="1" applyFill="1" applyBorder="1" applyAlignment="1" applyProtection="1">
      <alignment horizontal="center" vertical="center" textRotation="90"/>
    </xf>
    <xf numFmtId="0" fontId="36" fillId="0" borderId="36" xfId="36" applyNumberFormat="1" applyFont="1" applyFill="1" applyBorder="1" applyAlignment="1" applyProtection="1">
      <alignment horizontal="center" vertical="center" textRotation="90"/>
    </xf>
    <xf numFmtId="0" fontId="37" fillId="24" borderId="44" xfId="36" applyNumberFormat="1" applyFont="1" applyFill="1" applyBorder="1" applyAlignment="1" applyProtection="1">
      <alignment horizontal="center" vertical="distributed" textRotation="91"/>
    </xf>
    <xf numFmtId="0" fontId="37" fillId="24" borderId="17" xfId="36" applyNumberFormat="1" applyFont="1" applyFill="1" applyBorder="1" applyAlignment="1" applyProtection="1">
      <alignment horizontal="center" vertical="distributed" textRotation="91"/>
    </xf>
    <xf numFmtId="0" fontId="37" fillId="24" borderId="20" xfId="36" applyNumberFormat="1" applyFont="1" applyFill="1" applyBorder="1" applyAlignment="1" applyProtection="1">
      <alignment horizontal="center" vertical="top"/>
    </xf>
    <xf numFmtId="0" fontId="37" fillId="24" borderId="36" xfId="36" applyNumberFormat="1" applyFont="1" applyFill="1" applyBorder="1" applyAlignment="1" applyProtection="1">
      <alignment horizontal="center" vertical="top"/>
    </xf>
    <xf numFmtId="0" fontId="37" fillId="24" borderId="88" xfId="36" applyNumberFormat="1" applyFont="1" applyFill="1" applyBorder="1" applyAlignment="1" applyProtection="1">
      <alignment horizontal="center" vertical="top"/>
    </xf>
    <xf numFmtId="0" fontId="37" fillId="24" borderId="78" xfId="36" applyNumberFormat="1" applyFont="1" applyFill="1" applyBorder="1" applyAlignment="1" applyProtection="1">
      <alignment horizontal="center" vertical="top"/>
    </xf>
    <xf numFmtId="0" fontId="3" fillId="0" borderId="52" xfId="36" applyNumberFormat="1" applyFont="1" applyFill="1" applyBorder="1" applyAlignment="1" applyProtection="1">
      <alignment horizontal="center" vertical="center"/>
    </xf>
    <xf numFmtId="0" fontId="3" fillId="0" borderId="58" xfId="36" applyNumberFormat="1" applyFont="1" applyFill="1" applyBorder="1" applyAlignment="1" applyProtection="1">
      <alignment horizontal="center" vertical="center"/>
    </xf>
    <xf numFmtId="0" fontId="3" fillId="0" borderId="79" xfId="36" applyNumberFormat="1" applyFont="1" applyFill="1" applyBorder="1" applyAlignment="1" applyProtection="1">
      <alignment horizontal="center" vertical="center"/>
    </xf>
    <xf numFmtId="0" fontId="5" fillId="0" borderId="0" xfId="36" applyNumberFormat="1" applyFont="1" applyFill="1" applyBorder="1" applyAlignment="1" applyProtection="1">
      <alignment horizontal="center" vertical="top" wrapText="1"/>
    </xf>
    <xf numFmtId="0" fontId="37" fillId="24" borderId="81" xfId="36" applyNumberFormat="1" applyFont="1" applyFill="1" applyBorder="1" applyAlignment="1" applyProtection="1">
      <alignment horizontal="center" vertical="center"/>
    </xf>
    <xf numFmtId="0" fontId="37" fillId="24" borderId="48" xfId="36" applyNumberFormat="1" applyFont="1" applyFill="1" applyBorder="1" applyAlignment="1" applyProtection="1">
      <alignment horizontal="center" vertical="center"/>
    </xf>
    <xf numFmtId="0" fontId="39" fillId="0" borderId="50" xfId="36" applyNumberFormat="1" applyFont="1" applyFill="1" applyBorder="1" applyAlignment="1" applyProtection="1">
      <alignment horizontal="center" vertical="center"/>
    </xf>
    <xf numFmtId="0" fontId="3" fillId="0" borderId="51" xfId="36" applyNumberFormat="1" applyFont="1" applyFill="1" applyBorder="1" applyAlignment="1" applyProtection="1">
      <alignment horizontal="center" vertical="center"/>
    </xf>
    <xf numFmtId="0" fontId="3" fillId="0" borderId="14" xfId="36" applyNumberFormat="1" applyFont="1" applyFill="1" applyBorder="1" applyAlignment="1" applyProtection="1">
      <alignment horizontal="center" vertical="center"/>
    </xf>
    <xf numFmtId="0" fontId="3" fillId="0" borderId="28" xfId="36" applyNumberFormat="1" applyFont="1" applyFill="1" applyBorder="1" applyAlignment="1" applyProtection="1">
      <alignment horizontal="center" vertical="center"/>
    </xf>
    <xf numFmtId="0" fontId="4" fillId="0" borderId="50" xfId="36" applyNumberFormat="1" applyFont="1" applyFill="1" applyBorder="1" applyAlignment="1" applyProtection="1">
      <alignment horizontal="center" vertical="center"/>
    </xf>
    <xf numFmtId="0" fontId="4" fillId="0" borderId="89" xfId="36" applyNumberFormat="1" applyFont="1" applyFill="1" applyBorder="1" applyAlignment="1" applyProtection="1">
      <alignment horizontal="center" vertical="center"/>
    </xf>
    <xf numFmtId="0" fontId="4" fillId="0" borderId="51" xfId="36" applyNumberFormat="1" applyFont="1" applyFill="1" applyBorder="1" applyAlignment="1" applyProtection="1">
      <alignment horizontal="center" vertical="center"/>
    </xf>
    <xf numFmtId="0" fontId="4" fillId="0" borderId="14" xfId="36" applyNumberFormat="1" applyFont="1" applyFill="1" applyBorder="1" applyAlignment="1" applyProtection="1">
      <alignment horizontal="center" vertical="center"/>
    </xf>
    <xf numFmtId="0" fontId="4" fillId="0" borderId="27" xfId="36" applyNumberFormat="1" applyFont="1" applyFill="1" applyBorder="1" applyAlignment="1" applyProtection="1">
      <alignment horizontal="center" vertical="center"/>
    </xf>
    <xf numFmtId="0" fontId="4" fillId="0" borderId="28" xfId="36" applyNumberFormat="1" applyFont="1" applyFill="1" applyBorder="1" applyAlignment="1" applyProtection="1">
      <alignment horizontal="center" vertical="center"/>
    </xf>
    <xf numFmtId="0" fontId="3" fillId="0" borderId="50" xfId="36" applyNumberFormat="1" applyFont="1" applyFill="1" applyBorder="1" applyAlignment="1" applyProtection="1">
      <alignment horizontal="center" vertical="center"/>
    </xf>
    <xf numFmtId="0" fontId="3" fillId="0" borderId="89" xfId="36" applyNumberFormat="1" applyFont="1" applyFill="1" applyBorder="1" applyAlignment="1" applyProtection="1">
      <alignment horizontal="center" vertical="center"/>
    </xf>
    <xf numFmtId="0" fontId="3" fillId="0" borderId="27" xfId="36" applyNumberFormat="1" applyFont="1" applyFill="1" applyBorder="1" applyAlignment="1" applyProtection="1">
      <alignment horizontal="center" vertical="center"/>
    </xf>
    <xf numFmtId="0" fontId="4" fillId="28" borderId="25" xfId="0" applyNumberFormat="1" applyFont="1" applyFill="1" applyBorder="1" applyAlignment="1" applyProtection="1">
      <alignment horizontal="center" textRotation="90" wrapText="1"/>
    </xf>
    <xf numFmtId="0" fontId="4" fillId="28" borderId="30" xfId="0" applyNumberFormat="1" applyFont="1" applyFill="1" applyBorder="1" applyAlignment="1" applyProtection="1">
      <alignment horizontal="center" textRotation="90" wrapText="1"/>
    </xf>
    <xf numFmtId="0" fontId="3" fillId="0" borderId="70" xfId="0" applyNumberFormat="1" applyFont="1" applyFill="1" applyBorder="1" applyAlignment="1" applyProtection="1">
      <alignment horizontal="center" vertical="center" textRotation="90"/>
    </xf>
    <xf numFmtId="0" fontId="3" fillId="0" borderId="71" xfId="0" applyNumberFormat="1" applyFont="1" applyFill="1" applyBorder="1" applyAlignment="1" applyProtection="1">
      <alignment horizontal="center" vertical="center" textRotation="90"/>
    </xf>
    <xf numFmtId="0" fontId="3" fillId="0" borderId="72" xfId="0" applyNumberFormat="1" applyFont="1" applyFill="1" applyBorder="1" applyAlignment="1" applyProtection="1">
      <alignment horizontal="center" vertical="center" textRotation="90"/>
    </xf>
    <xf numFmtId="0" fontId="3" fillId="0" borderId="70" xfId="0" applyNumberFormat="1" applyFont="1" applyFill="1" applyBorder="1" applyAlignment="1" applyProtection="1">
      <alignment horizontal="center" vertical="center" wrapText="1"/>
    </xf>
    <xf numFmtId="0" fontId="3" fillId="0" borderId="71" xfId="0" applyNumberFormat="1" applyFont="1" applyFill="1" applyBorder="1" applyAlignment="1" applyProtection="1">
      <alignment horizontal="center" vertical="center" wrapText="1"/>
    </xf>
    <xf numFmtId="0" fontId="3" fillId="0" borderId="72" xfId="0" applyNumberFormat="1" applyFont="1" applyFill="1" applyBorder="1" applyAlignment="1" applyProtection="1">
      <alignment horizontal="center" vertical="center" wrapText="1"/>
    </xf>
    <xf numFmtId="0" fontId="4" fillId="0" borderId="73" xfId="0" applyNumberFormat="1" applyFont="1" applyFill="1" applyBorder="1" applyAlignment="1" applyProtection="1">
      <alignment horizontal="center" vertical="center" wrapText="1"/>
    </xf>
    <xf numFmtId="0" fontId="4" fillId="0" borderId="47" xfId="0" applyNumberFormat="1" applyFont="1" applyFill="1" applyBorder="1" applyAlignment="1" applyProtection="1">
      <alignment horizontal="center" vertical="center" wrapText="1"/>
    </xf>
    <xf numFmtId="0" fontId="4" fillId="0" borderId="74" xfId="0" applyNumberFormat="1" applyFont="1" applyFill="1" applyBorder="1" applyAlignment="1" applyProtection="1">
      <alignment horizontal="center" vertical="center" wrapText="1"/>
    </xf>
    <xf numFmtId="0" fontId="4" fillId="0" borderId="19" xfId="0" applyNumberFormat="1" applyFont="1" applyFill="1" applyBorder="1" applyAlignment="1" applyProtection="1">
      <alignment horizontal="center" vertical="center" wrapText="1"/>
    </xf>
    <xf numFmtId="0" fontId="4" fillId="0" borderId="65" xfId="0" applyNumberFormat="1" applyFont="1" applyFill="1" applyBorder="1" applyAlignment="1" applyProtection="1">
      <alignment horizontal="center" vertical="center" wrapText="1"/>
    </xf>
    <xf numFmtId="0" fontId="4" fillId="0" borderId="80" xfId="0" applyNumberFormat="1" applyFont="1" applyFill="1" applyBorder="1" applyAlignment="1" applyProtection="1">
      <alignment horizontal="center" vertical="center" wrapText="1"/>
    </xf>
    <xf numFmtId="0" fontId="4" fillId="24" borderId="70" xfId="0" applyNumberFormat="1" applyFont="1" applyFill="1" applyBorder="1" applyAlignment="1" applyProtection="1">
      <alignment horizontal="center" vertical="center" textRotation="90" wrapText="1"/>
    </xf>
    <xf numFmtId="0" fontId="4" fillId="24" borderId="71" xfId="0" applyNumberFormat="1" applyFont="1" applyFill="1" applyBorder="1" applyAlignment="1" applyProtection="1">
      <alignment horizontal="center" vertical="center" textRotation="90" wrapText="1"/>
    </xf>
    <xf numFmtId="0" fontId="4" fillId="0" borderId="52" xfId="0" applyNumberFormat="1" applyFont="1" applyFill="1" applyBorder="1" applyAlignment="1" applyProtection="1">
      <alignment horizontal="center" vertical="center" wrapText="1"/>
    </xf>
    <xf numFmtId="0" fontId="4" fillId="0" borderId="58" xfId="0" applyNumberFormat="1" applyFont="1" applyFill="1" applyBorder="1" applyAlignment="1" applyProtection="1">
      <alignment horizontal="center" vertical="center" wrapText="1"/>
    </xf>
    <xf numFmtId="0" fontId="4" fillId="0" borderId="79" xfId="0" applyNumberFormat="1" applyFont="1" applyFill="1" applyBorder="1" applyAlignment="1" applyProtection="1">
      <alignment horizontal="center" vertical="center" wrapText="1"/>
    </xf>
    <xf numFmtId="0" fontId="7" fillId="27" borderId="70" xfId="0" applyNumberFormat="1" applyFont="1" applyFill="1" applyBorder="1" applyAlignment="1" applyProtection="1">
      <alignment horizontal="center" textRotation="90" wrapText="1"/>
    </xf>
    <xf numFmtId="0" fontId="7" fillId="27" borderId="71" xfId="0" applyNumberFormat="1" applyFont="1" applyFill="1" applyBorder="1" applyAlignment="1" applyProtection="1">
      <alignment horizontal="center" textRotation="90" wrapText="1"/>
    </xf>
    <xf numFmtId="0" fontId="4" fillId="0" borderId="70" xfId="0" applyNumberFormat="1" applyFont="1" applyFill="1" applyBorder="1" applyAlignment="1" applyProtection="1">
      <alignment horizontal="center" textRotation="90" wrapText="1"/>
    </xf>
    <xf numFmtId="0" fontId="4" fillId="0" borderId="71" xfId="0" applyNumberFormat="1" applyFont="1" applyFill="1" applyBorder="1" applyAlignment="1" applyProtection="1">
      <alignment horizontal="center" textRotation="90" wrapText="1"/>
    </xf>
    <xf numFmtId="0" fontId="4" fillId="29" borderId="52" xfId="0" applyNumberFormat="1" applyFont="1" applyFill="1" applyBorder="1" applyAlignment="1" applyProtection="1">
      <alignment horizontal="center" vertical="top" wrapText="1"/>
    </xf>
    <xf numFmtId="0" fontId="4" fillId="29" borderId="58" xfId="0" applyNumberFormat="1" applyFont="1" applyFill="1" applyBorder="1" applyAlignment="1" applyProtection="1">
      <alignment horizontal="center" vertical="top" wrapText="1"/>
    </xf>
    <xf numFmtId="0" fontId="4" fillId="29" borderId="79" xfId="0" applyNumberFormat="1" applyFont="1" applyFill="1" applyBorder="1" applyAlignment="1" applyProtection="1">
      <alignment horizontal="center" vertical="top" wrapText="1"/>
    </xf>
    <xf numFmtId="0" fontId="4" fillId="29" borderId="70" xfId="0" applyNumberFormat="1" applyFont="1" applyFill="1" applyBorder="1" applyAlignment="1" applyProtection="1">
      <alignment horizontal="center" textRotation="90" wrapText="1"/>
    </xf>
    <xf numFmtId="0" fontId="4" fillId="29" borderId="71" xfId="0" applyNumberFormat="1" applyFont="1" applyFill="1" applyBorder="1" applyAlignment="1" applyProtection="1">
      <alignment horizontal="center" textRotation="90" wrapText="1"/>
    </xf>
    <xf numFmtId="0" fontId="4" fillId="0" borderId="52" xfId="0" applyNumberFormat="1" applyFont="1" applyFill="1" applyBorder="1" applyAlignment="1" applyProtection="1">
      <alignment horizontal="center" vertical="top" wrapText="1"/>
    </xf>
    <xf numFmtId="0" fontId="4" fillId="0" borderId="58" xfId="0" applyNumberFormat="1" applyFont="1" applyFill="1" applyBorder="1" applyAlignment="1" applyProtection="1">
      <alignment horizontal="center" vertical="top" wrapText="1"/>
    </xf>
    <xf numFmtId="0" fontId="4" fillId="0" borderId="79" xfId="0" applyNumberFormat="1" applyFont="1" applyFill="1" applyBorder="1" applyAlignment="1" applyProtection="1">
      <alignment horizontal="center" vertical="top" wrapText="1"/>
    </xf>
    <xf numFmtId="0" fontId="4" fillId="0" borderId="41" xfId="0" applyNumberFormat="1" applyFont="1" applyFill="1" applyBorder="1" applyAlignment="1" applyProtection="1">
      <alignment horizontal="center" vertical="center" wrapText="1"/>
    </xf>
    <xf numFmtId="0" fontId="4" fillId="0" borderId="43" xfId="0" applyNumberFormat="1" applyFont="1" applyFill="1" applyBorder="1" applyAlignment="1" applyProtection="1">
      <alignment horizontal="center" vertical="center" wrapText="1"/>
    </xf>
    <xf numFmtId="0" fontId="4" fillId="0" borderId="66" xfId="0" applyNumberFormat="1" applyFont="1" applyFill="1" applyBorder="1" applyAlignment="1" applyProtection="1">
      <alignment horizontal="center" textRotation="90" wrapText="1"/>
    </xf>
    <xf numFmtId="0" fontId="4" fillId="0" borderId="68" xfId="0" applyNumberFormat="1" applyFont="1" applyFill="1" applyBorder="1" applyAlignment="1" applyProtection="1">
      <alignment horizontal="center" textRotation="90" wrapText="1"/>
    </xf>
    <xf numFmtId="0" fontId="4" fillId="0" borderId="40" xfId="0" applyNumberFormat="1" applyFont="1" applyFill="1" applyBorder="1" applyAlignment="1" applyProtection="1">
      <alignment horizontal="center" textRotation="90" wrapText="1"/>
    </xf>
    <xf numFmtId="0" fontId="4" fillId="0" borderId="12" xfId="0" applyNumberFormat="1" applyFont="1" applyFill="1" applyBorder="1" applyAlignment="1" applyProtection="1">
      <alignment horizontal="center" textRotation="90" wrapText="1"/>
    </xf>
    <xf numFmtId="0" fontId="6" fillId="24" borderId="43" xfId="0" applyNumberFormat="1" applyFont="1" applyFill="1" applyBorder="1" applyAlignment="1" applyProtection="1">
      <alignment horizontal="center" vertical="top"/>
    </xf>
    <xf numFmtId="0" fontId="4" fillId="0" borderId="52" xfId="0" applyNumberFormat="1" applyFont="1" applyFill="1" applyBorder="1" applyAlignment="1" applyProtection="1">
      <alignment horizontal="center" vertical="top"/>
    </xf>
    <xf numFmtId="0" fontId="4" fillId="0" borderId="58" xfId="0" applyNumberFormat="1" applyFont="1" applyFill="1" applyBorder="1" applyAlignment="1" applyProtection="1">
      <alignment horizontal="center" vertical="top"/>
    </xf>
    <xf numFmtId="0" fontId="4" fillId="0" borderId="79" xfId="0" applyNumberFormat="1" applyFont="1" applyFill="1" applyBorder="1" applyAlignment="1" applyProtection="1">
      <alignment horizontal="center" vertical="top"/>
    </xf>
    <xf numFmtId="0" fontId="4" fillId="0" borderId="54" xfId="0" applyNumberFormat="1" applyFont="1" applyFill="1" applyBorder="1" applyAlignment="1" applyProtection="1">
      <alignment horizontal="center" vertical="top" wrapText="1"/>
    </xf>
    <xf numFmtId="0" fontId="4" fillId="0" borderId="67" xfId="0" applyNumberFormat="1" applyFont="1" applyFill="1" applyBorder="1" applyAlignment="1" applyProtection="1">
      <alignment horizontal="center" vertical="top" wrapText="1"/>
    </xf>
    <xf numFmtId="0" fontId="4" fillId="0" borderId="77" xfId="0" applyNumberFormat="1" applyFont="1" applyFill="1" applyBorder="1" applyAlignment="1" applyProtection="1">
      <alignment horizontal="center" vertical="top" wrapText="1"/>
    </xf>
    <xf numFmtId="0" fontId="4" fillId="27" borderId="42" xfId="0" applyNumberFormat="1" applyFont="1" applyFill="1" applyBorder="1" applyAlignment="1" applyProtection="1">
      <alignment horizontal="center" textRotation="90" wrapText="1"/>
    </xf>
    <xf numFmtId="0" fontId="4" fillId="27" borderId="29" xfId="0" applyNumberFormat="1" applyFont="1" applyFill="1" applyBorder="1" applyAlignment="1" applyProtection="1">
      <alignment horizontal="center" textRotation="90" wrapText="1"/>
    </xf>
    <xf numFmtId="0" fontId="40" fillId="0" borderId="73" xfId="0" applyNumberFormat="1" applyFont="1" applyFill="1" applyBorder="1" applyAlignment="1" applyProtection="1">
      <alignment horizontal="center" vertical="center"/>
    </xf>
    <xf numFmtId="0" fontId="40" fillId="0" borderId="41" xfId="0" applyNumberFormat="1" applyFont="1" applyFill="1" applyBorder="1" applyAlignment="1" applyProtection="1">
      <alignment horizontal="center" vertical="center"/>
    </xf>
    <xf numFmtId="0" fontId="40" fillId="0" borderId="65" xfId="0" applyNumberFormat="1" applyFont="1" applyFill="1" applyBorder="1" applyAlignment="1" applyProtection="1">
      <alignment horizontal="center" vertical="center"/>
    </xf>
    <xf numFmtId="0" fontId="40" fillId="0" borderId="43" xfId="0" applyNumberFormat="1" applyFont="1" applyFill="1" applyBorder="1" applyAlignment="1" applyProtection="1">
      <alignment horizontal="center" vertical="center"/>
    </xf>
    <xf numFmtId="0" fontId="4" fillId="27" borderId="66" xfId="0" applyNumberFormat="1" applyFont="1" applyFill="1" applyBorder="1" applyAlignment="1" applyProtection="1">
      <alignment horizontal="center" textRotation="90" wrapText="1"/>
    </xf>
    <xf numFmtId="0" fontId="4" fillId="27" borderId="68" xfId="0" applyNumberFormat="1" applyFont="1" applyFill="1" applyBorder="1" applyAlignment="1" applyProtection="1">
      <alignment horizontal="center" textRotation="90" wrapText="1"/>
    </xf>
    <xf numFmtId="0" fontId="7" fillId="24" borderId="41" xfId="0" applyNumberFormat="1" applyFont="1" applyFill="1" applyBorder="1" applyAlignment="1" applyProtection="1">
      <alignment horizontal="left" vertical="top" wrapText="1"/>
    </xf>
    <xf numFmtId="0" fontId="7" fillId="24" borderId="0" xfId="0" applyNumberFormat="1" applyFont="1" applyFill="1" applyBorder="1" applyAlignment="1" applyProtection="1">
      <alignment horizontal="left" vertical="top" wrapText="1"/>
    </xf>
    <xf numFmtId="0" fontId="8" fillId="24" borderId="40" xfId="0" applyNumberFormat="1" applyFont="1" applyFill="1" applyBorder="1" applyAlignment="1" applyProtection="1">
      <alignment horizontal="center" vertical="center" textRotation="90"/>
    </xf>
    <xf numFmtId="0" fontId="8" fillId="24" borderId="12" xfId="0" applyNumberFormat="1" applyFont="1" applyFill="1" applyBorder="1" applyAlignment="1" applyProtection="1">
      <alignment horizontal="center" vertical="center" textRotation="90"/>
    </xf>
    <xf numFmtId="0" fontId="8" fillId="24" borderId="31" xfId="0" applyNumberFormat="1" applyFont="1" applyFill="1" applyBorder="1" applyAlignment="1" applyProtection="1">
      <alignment horizontal="center" vertical="center" textRotation="90"/>
    </xf>
    <xf numFmtId="0" fontId="7" fillId="24" borderId="54" xfId="0" applyNumberFormat="1" applyFont="1" applyFill="1" applyBorder="1" applyAlignment="1" applyProtection="1">
      <alignment horizontal="left" vertical="top"/>
    </xf>
    <xf numFmtId="0" fontId="7" fillId="24" borderId="67" xfId="0" applyNumberFormat="1" applyFont="1" applyFill="1" applyBorder="1" applyAlignment="1" applyProtection="1">
      <alignment horizontal="left" vertical="top"/>
    </xf>
    <xf numFmtId="0" fontId="7" fillId="24" borderId="77" xfId="0" applyNumberFormat="1" applyFont="1" applyFill="1" applyBorder="1" applyAlignment="1" applyProtection="1">
      <alignment horizontal="left" vertical="top"/>
    </xf>
    <xf numFmtId="0" fontId="7" fillId="24" borderId="35" xfId="0" applyNumberFormat="1" applyFont="1" applyFill="1" applyBorder="1" applyAlignment="1" applyProtection="1">
      <alignment horizontal="left" vertical="top" wrapText="1"/>
    </xf>
    <xf numFmtId="0" fontId="7" fillId="24" borderId="55" xfId="0" applyNumberFormat="1" applyFont="1" applyFill="1" applyBorder="1" applyAlignment="1" applyProtection="1">
      <alignment horizontal="left" vertical="top" wrapText="1"/>
    </xf>
    <xf numFmtId="0" fontId="7" fillId="24" borderId="85" xfId="0" applyNumberFormat="1" applyFont="1" applyFill="1" applyBorder="1" applyAlignment="1" applyProtection="1">
      <alignment horizontal="left" vertical="top" wrapText="1"/>
    </xf>
    <xf numFmtId="0" fontId="7" fillId="24" borderId="35" xfId="0" applyNumberFormat="1" applyFont="1" applyFill="1" applyBorder="1" applyAlignment="1" applyProtection="1">
      <alignment horizontal="left" vertical="top"/>
    </xf>
    <xf numFmtId="0" fontId="7" fillId="24" borderId="55" xfId="0" applyNumberFormat="1" applyFont="1" applyFill="1" applyBorder="1" applyAlignment="1" applyProtection="1">
      <alignment horizontal="left" vertical="top"/>
    </xf>
    <xf numFmtId="0" fontId="7" fillId="24" borderId="85" xfId="0" applyNumberFormat="1" applyFont="1" applyFill="1" applyBorder="1" applyAlignment="1" applyProtection="1">
      <alignment horizontal="left" vertical="top"/>
    </xf>
    <xf numFmtId="0" fontId="7" fillId="24" borderId="36" xfId="0" applyNumberFormat="1" applyFont="1" applyFill="1" applyBorder="1" applyAlignment="1" applyProtection="1">
      <alignment horizontal="left" vertical="top"/>
    </xf>
    <xf numFmtId="0" fontId="7" fillId="24" borderId="76" xfId="0" applyNumberFormat="1" applyFont="1" applyFill="1" applyBorder="1" applyAlignment="1" applyProtection="1">
      <alignment horizontal="left" vertical="top"/>
    </xf>
    <xf numFmtId="0" fontId="7" fillId="24" borderId="78" xfId="0" applyNumberFormat="1" applyFont="1" applyFill="1" applyBorder="1" applyAlignment="1" applyProtection="1">
      <alignment horizontal="left" vertical="top"/>
    </xf>
    <xf numFmtId="0" fontId="4" fillId="0" borderId="88" xfId="46" applyNumberFormat="1" applyFont="1" applyFill="1" applyBorder="1" applyAlignment="1" applyProtection="1">
      <alignment horizontal="right" vertical="top" wrapText="1"/>
    </xf>
    <xf numFmtId="0" fontId="4" fillId="0" borderId="56" xfId="46" applyNumberFormat="1" applyFont="1" applyFill="1" applyBorder="1" applyAlignment="1" applyProtection="1">
      <alignment horizontal="right" vertical="top" wrapText="1"/>
    </xf>
    <xf numFmtId="0" fontId="4" fillId="0" borderId="36" xfId="46" applyNumberFormat="1" applyFont="1" applyFill="1" applyBorder="1" applyAlignment="1" applyProtection="1">
      <alignment horizontal="center" vertical="top" wrapText="1"/>
    </xf>
    <xf numFmtId="0" fontId="4" fillId="0" borderId="76" xfId="46" applyNumberFormat="1" applyFont="1" applyFill="1" applyBorder="1" applyAlignment="1" applyProtection="1">
      <alignment horizontal="center" vertical="top" wrapText="1"/>
    </xf>
    <xf numFmtId="0" fontId="3" fillId="0" borderId="0" xfId="46" applyNumberFormat="1" applyFont="1" applyFill="1" applyBorder="1" applyAlignment="1" applyProtection="1">
      <alignment horizontal="center" vertical="center" wrapText="1"/>
    </xf>
    <xf numFmtId="0" fontId="4" fillId="0" borderId="54" xfId="46" applyNumberFormat="1" applyFont="1" applyFill="1" applyBorder="1" applyAlignment="1" applyProtection="1">
      <alignment horizontal="center" vertical="center" wrapText="1"/>
    </xf>
    <xf numFmtId="0" fontId="4" fillId="0" borderId="67" xfId="46" applyNumberFormat="1" applyFont="1" applyFill="1" applyBorder="1" applyAlignment="1" applyProtection="1">
      <alignment horizontal="center" vertical="center" wrapText="1"/>
    </xf>
    <xf numFmtId="0" fontId="4" fillId="0" borderId="35" xfId="46" applyNumberFormat="1" applyFont="1" applyFill="1" applyBorder="1" applyAlignment="1" applyProtection="1">
      <alignment horizontal="center" vertical="center" wrapText="1"/>
    </xf>
    <xf numFmtId="0" fontId="4" fillId="0" borderId="85" xfId="46" applyNumberFormat="1" applyFont="1" applyFill="1" applyBorder="1" applyAlignment="1" applyProtection="1">
      <alignment horizontal="center" vertical="center" wrapText="1"/>
    </xf>
    <xf numFmtId="0" fontId="4" fillId="0" borderId="35" xfId="46" applyNumberFormat="1" applyFont="1" applyFill="1" applyBorder="1" applyAlignment="1" applyProtection="1">
      <alignment horizontal="center" vertical="top" wrapText="1"/>
    </xf>
    <xf numFmtId="0" fontId="4" fillId="0" borderId="85" xfId="46" applyNumberFormat="1" applyFont="1" applyFill="1" applyBorder="1" applyAlignment="1" applyProtection="1">
      <alignment horizontal="center" vertical="top" wrapText="1"/>
    </xf>
    <xf numFmtId="0" fontId="49" fillId="24" borderId="35" xfId="0" applyFont="1" applyFill="1" applyBorder="1" applyAlignment="1">
      <alignment horizontal="left" vertical="top"/>
    </xf>
    <xf numFmtId="0" fontId="49" fillId="24" borderId="55" xfId="0" applyFont="1" applyFill="1" applyBorder="1" applyAlignment="1">
      <alignment horizontal="left" vertical="top"/>
    </xf>
    <xf numFmtId="0" fontId="49" fillId="24" borderId="38" xfId="0" applyFont="1" applyFill="1" applyBorder="1" applyAlignment="1">
      <alignment horizontal="left" vertical="top"/>
    </xf>
    <xf numFmtId="0" fontId="49" fillId="32" borderId="35" xfId="0" applyFont="1" applyFill="1" applyBorder="1" applyAlignment="1" applyProtection="1">
      <alignment horizontal="left" vertical="top"/>
      <protection locked="0"/>
    </xf>
    <xf numFmtId="0" fontId="49" fillId="32" borderId="55" xfId="0" applyFont="1" applyFill="1" applyBorder="1" applyAlignment="1" applyProtection="1">
      <alignment horizontal="left" vertical="top"/>
      <protection locked="0"/>
    </xf>
    <xf numFmtId="0" fontId="49" fillId="32" borderId="38" xfId="0" applyFont="1" applyFill="1" applyBorder="1" applyAlignment="1" applyProtection="1">
      <alignment horizontal="left" vertical="top"/>
      <protection locked="0"/>
    </xf>
    <xf numFmtId="0" fontId="28" fillId="32" borderId="35" xfId="0" applyFont="1" applyFill="1" applyBorder="1" applyAlignment="1" applyProtection="1">
      <alignment horizontal="left" vertical="top" wrapText="1"/>
      <protection locked="0"/>
    </xf>
    <xf numFmtId="0" fontId="28" fillId="32" borderId="55" xfId="0" applyFont="1" applyFill="1" applyBorder="1" applyAlignment="1" applyProtection="1">
      <alignment horizontal="left" vertical="top" wrapText="1"/>
      <protection locked="0"/>
    </xf>
    <xf numFmtId="0" fontId="28" fillId="32" borderId="38" xfId="0" applyFont="1" applyFill="1" applyBorder="1" applyAlignment="1" applyProtection="1">
      <alignment horizontal="left" vertical="top" wrapText="1"/>
      <protection locked="0"/>
    </xf>
    <xf numFmtId="0" fontId="48" fillId="32" borderId="35" xfId="0" applyFont="1" applyFill="1" applyBorder="1" applyAlignment="1" applyProtection="1">
      <alignment horizontal="left" vertical="top" wrapText="1"/>
      <protection locked="0"/>
    </xf>
    <xf numFmtId="0" fontId="48" fillId="32" borderId="55" xfId="0" applyFont="1" applyFill="1" applyBorder="1" applyAlignment="1" applyProtection="1">
      <alignment horizontal="left" vertical="top" wrapText="1"/>
      <protection locked="0"/>
    </xf>
    <xf numFmtId="0" fontId="48" fillId="32" borderId="38" xfId="0" applyFont="1" applyFill="1" applyBorder="1" applyAlignment="1" applyProtection="1">
      <alignment horizontal="left" vertical="top" wrapText="1"/>
      <protection locked="0"/>
    </xf>
    <xf numFmtId="0" fontId="51" fillId="32" borderId="35" xfId="0" applyFont="1" applyFill="1" applyBorder="1" applyAlignment="1" applyProtection="1">
      <alignment horizontal="left" vertical="top" wrapText="1"/>
      <protection locked="0"/>
    </xf>
    <xf numFmtId="0" fontId="51" fillId="32" borderId="55" xfId="0" applyFont="1" applyFill="1" applyBorder="1" applyAlignment="1" applyProtection="1">
      <alignment horizontal="left" vertical="top" wrapText="1"/>
      <protection locked="0"/>
    </xf>
    <xf numFmtId="0" fontId="51" fillId="32" borderId="38" xfId="0" applyFont="1" applyFill="1" applyBorder="1" applyAlignment="1" applyProtection="1">
      <alignment horizontal="left" vertical="top" wrapText="1"/>
      <protection locked="0"/>
    </xf>
  </cellXfs>
  <cellStyles count="48">
    <cellStyle name="20% — акцент1" xfId="1" builtinId="30" customBuiltin="1"/>
    <cellStyle name="20% — акцент2" xfId="2" builtinId="34" customBuiltin="1"/>
    <cellStyle name="20% — акцент3" xfId="3" builtinId="38" customBuiltin="1"/>
    <cellStyle name="20% — акцент4" xfId="4" builtinId="42" customBuiltin="1"/>
    <cellStyle name="20% — акцент5" xfId="5" builtinId="46" customBuiltin="1"/>
    <cellStyle name="20% — акцент6" xfId="6" builtinId="50" customBuiltin="1"/>
    <cellStyle name="40% — акцент1" xfId="7" builtinId="31" customBuiltin="1"/>
    <cellStyle name="40% — акцент2" xfId="8" builtinId="35" customBuiltin="1"/>
    <cellStyle name="40% — акцент3" xfId="9" builtinId="39" customBuiltin="1"/>
    <cellStyle name="40% — акцент4" xfId="10" builtinId="43" customBuiltin="1"/>
    <cellStyle name="40% — акцент5" xfId="11" builtinId="47" customBuiltin="1"/>
    <cellStyle name="40% — акцент6" xfId="12" builtinId="51" customBuiltin="1"/>
    <cellStyle name="60% — акцент1" xfId="13" builtinId="32" customBuiltin="1"/>
    <cellStyle name="60% — акцент2" xfId="14" builtinId="36" customBuiltin="1"/>
    <cellStyle name="60% — акцент3" xfId="15" builtinId="40" customBuiltin="1"/>
    <cellStyle name="60% — акцент4" xfId="16" builtinId="44" customBuiltin="1"/>
    <cellStyle name="60% — акцент5" xfId="17" builtinId="48" customBuiltin="1"/>
    <cellStyle name="60% — акцент6" xfId="18" builtinId="52" customBuiltin="1"/>
    <cellStyle name="Акцент1" xfId="19" builtinId="29" customBuiltin="1"/>
    <cellStyle name="Акцент2" xfId="20" builtinId="33" customBuiltin="1"/>
    <cellStyle name="Акцент3" xfId="21" builtinId="37" customBuiltin="1"/>
    <cellStyle name="Акцент4" xfId="22" builtinId="41" customBuiltin="1"/>
    <cellStyle name="Акцент5" xfId="23" builtinId="45" customBuiltin="1"/>
    <cellStyle name="Акцент6" xfId="24" builtinId="49" customBuiltin="1"/>
    <cellStyle name="Ввод " xfId="25" builtinId="20" customBuiltin="1"/>
    <cellStyle name="Вывод" xfId="26" builtinId="21" customBuiltin="1"/>
    <cellStyle name="Вычисление" xfId="27" builtinId="22" customBuiltin="1"/>
    <cellStyle name="Гиперссылка" xfId="44" builtinId="8"/>
    <cellStyle name="Заголовок 1" xfId="28" builtinId="16" customBuiltin="1"/>
    <cellStyle name="Заголовок 2" xfId="29" builtinId="17" customBuiltin="1"/>
    <cellStyle name="Заголовок 3" xfId="30" builtinId="18" customBuiltin="1"/>
    <cellStyle name="Заголовок 4" xfId="31" builtinId="19" customBuiltin="1"/>
    <cellStyle name="Итог" xfId="32" builtinId="25" customBuiltin="1"/>
    <cellStyle name="Контрольная ячейка" xfId="33" builtinId="23" customBuiltin="1"/>
    <cellStyle name="Название" xfId="34" builtinId="15" customBuiltin="1"/>
    <cellStyle name="Нейтральный" xfId="35" builtinId="28" customBuiltin="1"/>
    <cellStyle name="Обычный" xfId="0" builtinId="0"/>
    <cellStyle name="Обычный 2" xfId="36"/>
    <cellStyle name="Обычный 2 2" xfId="46"/>
    <cellStyle name="Обычный 3" xfId="45"/>
    <cellStyle name="Обычный 4 2" xfId="47"/>
    <cellStyle name="Обычный_расчет БУП" xfId="43"/>
    <cellStyle name="Плохой" xfId="37" builtinId="27" customBuiltin="1"/>
    <cellStyle name="Пояснение" xfId="38" builtinId="53" customBuiltin="1"/>
    <cellStyle name="Примечание" xfId="39" builtinId="10" customBuiltin="1"/>
    <cellStyle name="Связанная ячейка" xfId="40" builtinId="24" customBuiltin="1"/>
    <cellStyle name="Текст предупреждения" xfId="41" builtinId="11" customBuiltin="1"/>
    <cellStyle name="Хороший" xfId="42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BO34"/>
  <sheetViews>
    <sheetView topLeftCell="A5" zoomScale="120" zoomScaleNormal="120" workbookViewId="0">
      <selection activeCell="C4" sqref="B4:BL34"/>
    </sheetView>
  </sheetViews>
  <sheetFormatPr defaultRowHeight="12.75" x14ac:dyDescent="0.2"/>
  <cols>
    <col min="1" max="1" width="0.85546875" style="5" customWidth="1"/>
    <col min="2" max="2" width="1.5703125" style="5" customWidth="1"/>
    <col min="3" max="7" width="2" style="5" customWidth="1"/>
    <col min="8" max="8" width="2.28515625" style="5" customWidth="1"/>
    <col min="9" max="9" width="2.5703125" style="5" customWidth="1"/>
    <col min="10" max="14" width="2" style="5" customWidth="1"/>
    <col min="15" max="15" width="2.140625" style="5" customWidth="1"/>
    <col min="16" max="16" width="2.42578125" style="5" customWidth="1"/>
    <col min="17" max="27" width="2" style="5" customWidth="1"/>
    <col min="28" max="28" width="2.28515625" style="5" customWidth="1"/>
    <col min="29" max="29" width="3.5703125" style="5" customWidth="1"/>
    <col min="30" max="54" width="2" style="5" customWidth="1"/>
    <col min="55" max="55" width="3" style="5" customWidth="1"/>
    <col min="56" max="56" width="2.7109375" style="5" customWidth="1"/>
    <col min="57" max="57" width="3.5703125" style="5" customWidth="1"/>
    <col min="58" max="58" width="3.42578125" style="5" customWidth="1"/>
    <col min="59" max="59" width="4" style="5" customWidth="1"/>
    <col min="60" max="60" width="2.5703125" style="5" customWidth="1"/>
    <col min="61" max="61" width="2" style="5" customWidth="1"/>
    <col min="62" max="62" width="2.5703125" style="5" customWidth="1"/>
    <col min="63" max="63" width="3.42578125" style="5" customWidth="1"/>
    <col min="64" max="64" width="4.28515625" style="5" customWidth="1"/>
    <col min="65" max="67" width="2" style="5" customWidth="1"/>
    <col min="68" max="16384" width="9.140625" style="5"/>
  </cols>
  <sheetData>
    <row r="1" spans="2:67" x14ac:dyDescent="0.2">
      <c r="C1" s="5" t="s">
        <v>97</v>
      </c>
      <c r="P1" s="246"/>
      <c r="Q1" s="246"/>
      <c r="BG1" s="246"/>
      <c r="BI1" s="246"/>
      <c r="BJ1" s="246"/>
      <c r="BK1" s="246"/>
      <c r="BL1" s="246"/>
      <c r="BO1" s="247"/>
    </row>
    <row r="2" spans="2:67" x14ac:dyDescent="0.2">
      <c r="P2" s="246"/>
      <c r="Q2" s="246"/>
      <c r="BG2" s="246"/>
      <c r="BI2" s="246"/>
      <c r="BJ2" s="246"/>
      <c r="BK2" s="246"/>
      <c r="BL2" s="246"/>
      <c r="BO2" s="247"/>
    </row>
    <row r="3" spans="2:67" x14ac:dyDescent="0.2">
      <c r="P3" s="246"/>
      <c r="Q3" s="246"/>
      <c r="BG3" s="246"/>
      <c r="BI3" s="246"/>
      <c r="BJ3" s="246"/>
      <c r="BK3" s="246"/>
      <c r="BL3" s="246"/>
      <c r="BO3" s="247"/>
    </row>
    <row r="4" spans="2:67" ht="16.5" customHeight="1" x14ac:dyDescent="0.2">
      <c r="W4" s="547" t="s">
        <v>98</v>
      </c>
      <c r="X4" s="548"/>
      <c r="Y4" s="548"/>
      <c r="Z4" s="548"/>
      <c r="AA4" s="548"/>
      <c r="AB4" s="548"/>
      <c r="AC4" s="548"/>
      <c r="AD4" s="548"/>
      <c r="AE4" s="548"/>
      <c r="AF4" s="548"/>
      <c r="AG4" s="548"/>
      <c r="AH4" s="548"/>
      <c r="AI4" s="548"/>
      <c r="AJ4" s="548"/>
      <c r="AK4" s="548"/>
      <c r="AL4" s="548"/>
      <c r="AM4" s="548"/>
      <c r="AN4" s="548"/>
      <c r="AO4" s="548"/>
      <c r="AP4" s="548"/>
      <c r="AQ4" s="548"/>
      <c r="AR4" s="548"/>
      <c r="AS4" s="548"/>
      <c r="AT4" s="548"/>
      <c r="AU4" s="548"/>
      <c r="AV4" s="548"/>
      <c r="AW4" s="548"/>
      <c r="AX4" s="548"/>
      <c r="AY4" s="548"/>
      <c r="AZ4" s="548"/>
      <c r="BA4" s="548"/>
    </row>
    <row r="5" spans="2:67" ht="41.25" customHeight="1" x14ac:dyDescent="0.2">
      <c r="S5" s="549" t="s">
        <v>99</v>
      </c>
      <c r="T5" s="549"/>
      <c r="U5" s="549"/>
      <c r="V5" s="549"/>
      <c r="W5" s="549"/>
      <c r="X5" s="549"/>
      <c r="Y5" s="549"/>
      <c r="Z5" s="549"/>
      <c r="AA5" s="549"/>
      <c r="AB5" s="549"/>
      <c r="AC5" s="549"/>
      <c r="AD5" s="549"/>
      <c r="AE5" s="549"/>
      <c r="AF5" s="549"/>
      <c r="AG5" s="549"/>
      <c r="AH5" s="549"/>
      <c r="AI5" s="549"/>
      <c r="AJ5" s="549"/>
      <c r="AK5" s="549"/>
      <c r="AL5" s="549"/>
      <c r="AM5" s="549"/>
      <c r="AN5" s="549"/>
      <c r="AO5" s="549"/>
      <c r="AP5" s="549"/>
      <c r="AQ5" s="549"/>
      <c r="AR5" s="549"/>
      <c r="AS5" s="549"/>
      <c r="AT5" s="549"/>
      <c r="AU5" s="549"/>
      <c r="AV5" s="549"/>
      <c r="AW5" s="549"/>
      <c r="AX5" s="549"/>
      <c r="AY5" s="549"/>
      <c r="AZ5" s="549"/>
      <c r="BA5" s="549"/>
      <c r="BB5" s="549"/>
      <c r="BC5" s="549"/>
      <c r="BD5" s="549"/>
      <c r="BE5" s="549"/>
    </row>
    <row r="6" spans="2:67" ht="15" x14ac:dyDescent="0.25">
      <c r="B6" s="248"/>
      <c r="C6" s="249"/>
      <c r="D6" s="550"/>
      <c r="E6" s="550"/>
      <c r="F6" s="550"/>
      <c r="G6" s="550"/>
      <c r="H6" s="550"/>
      <c r="I6" s="550"/>
      <c r="J6" s="550"/>
      <c r="K6" s="550"/>
      <c r="L6" s="550"/>
      <c r="M6" s="550"/>
      <c r="N6" s="250"/>
      <c r="O6" s="250"/>
      <c r="P6" s="250"/>
      <c r="Q6" s="250"/>
      <c r="R6" s="250"/>
      <c r="S6" s="250"/>
      <c r="T6" s="248"/>
      <c r="U6" s="248"/>
      <c r="V6" s="248"/>
      <c r="W6" s="551" t="s">
        <v>144</v>
      </c>
      <c r="X6" s="551"/>
      <c r="Y6" s="551"/>
      <c r="Z6" s="551"/>
      <c r="AA6" s="551"/>
      <c r="AB6" s="551"/>
      <c r="AC6" s="551"/>
      <c r="AD6" s="552"/>
      <c r="AE6" s="552"/>
      <c r="AF6" s="552"/>
      <c r="AG6" s="552"/>
      <c r="AH6" s="552"/>
      <c r="AI6" s="552"/>
      <c r="AJ6" s="552"/>
      <c r="AK6" s="552"/>
      <c r="AL6" s="552"/>
      <c r="AM6" s="552"/>
      <c r="AN6" s="552"/>
      <c r="AO6" s="552"/>
      <c r="AP6" s="552"/>
      <c r="AQ6" s="552"/>
      <c r="AR6" s="552"/>
      <c r="AS6" s="552"/>
      <c r="AT6" s="552"/>
      <c r="AU6" s="552"/>
      <c r="AV6" s="552"/>
      <c r="AW6" s="552"/>
      <c r="AX6" s="552"/>
      <c r="AY6" s="552"/>
      <c r="AZ6" s="552"/>
      <c r="BA6" s="552"/>
      <c r="BB6" s="248"/>
      <c r="BC6" s="248"/>
      <c r="BD6" s="553" t="s">
        <v>100</v>
      </c>
      <c r="BE6" s="553"/>
      <c r="BF6" s="553"/>
      <c r="BG6" s="553"/>
      <c r="BH6" s="553"/>
      <c r="BI6" s="553"/>
      <c r="BJ6" s="553"/>
      <c r="BK6" s="553"/>
      <c r="BL6" s="553"/>
    </row>
    <row r="7" spans="2:67" ht="15" x14ac:dyDescent="0.2">
      <c r="B7" s="248"/>
      <c r="C7" s="249"/>
      <c r="D7" s="554"/>
      <c r="E7" s="554"/>
      <c r="F7" s="554"/>
      <c r="G7" s="554"/>
      <c r="H7" s="554"/>
      <c r="I7" s="554"/>
      <c r="J7" s="554"/>
      <c r="K7" s="554"/>
      <c r="L7" s="554"/>
      <c r="M7" s="554"/>
      <c r="N7" s="554"/>
      <c r="O7" s="554"/>
      <c r="P7" s="554"/>
      <c r="Q7" s="554"/>
      <c r="R7" s="250"/>
      <c r="S7" s="250"/>
      <c r="T7" s="248"/>
      <c r="U7" s="248"/>
      <c r="V7" s="248"/>
      <c r="W7" s="555" t="s">
        <v>206</v>
      </c>
      <c r="X7" s="555"/>
      <c r="Y7" s="555"/>
      <c r="Z7" s="555"/>
      <c r="AA7" s="555"/>
      <c r="AB7" s="555"/>
      <c r="AC7" s="555"/>
      <c r="AD7" s="556"/>
      <c r="AE7" s="556"/>
      <c r="AF7" s="556"/>
      <c r="AG7" s="556"/>
      <c r="AH7" s="556"/>
      <c r="AI7" s="556"/>
      <c r="AJ7" s="556"/>
      <c r="AK7" s="556"/>
      <c r="AL7" s="556"/>
      <c r="AM7" s="556"/>
      <c r="AN7" s="556"/>
      <c r="AO7" s="556"/>
      <c r="AP7" s="556"/>
      <c r="AQ7" s="556"/>
      <c r="AR7" s="556"/>
      <c r="AS7" s="556"/>
      <c r="AT7" s="556"/>
      <c r="AU7" s="556"/>
      <c r="AV7" s="556"/>
      <c r="AW7" s="556"/>
      <c r="AX7" s="556"/>
      <c r="AY7" s="556"/>
      <c r="AZ7" s="556"/>
      <c r="BA7" s="556"/>
      <c r="BB7" s="248"/>
      <c r="BC7" s="248"/>
      <c r="BD7" s="557" t="s">
        <v>203</v>
      </c>
      <c r="BE7" s="551"/>
      <c r="BF7" s="551"/>
      <c r="BG7" s="551"/>
      <c r="BH7" s="551"/>
      <c r="BI7" s="551"/>
      <c r="BJ7" s="551"/>
      <c r="BK7" s="551"/>
      <c r="BL7" s="551"/>
    </row>
    <row r="8" spans="2:67" ht="15" x14ac:dyDescent="0.2">
      <c r="B8" s="248"/>
      <c r="C8" s="250"/>
      <c r="D8" s="558"/>
      <c r="E8" s="558"/>
      <c r="F8" s="558"/>
      <c r="G8" s="558"/>
      <c r="H8" s="558"/>
      <c r="I8" s="558"/>
      <c r="J8" s="558"/>
      <c r="K8" s="558"/>
      <c r="L8" s="558"/>
      <c r="M8" s="558"/>
      <c r="N8" s="558"/>
      <c r="O8" s="558"/>
      <c r="P8" s="558"/>
      <c r="Q8" s="558"/>
      <c r="R8" s="558"/>
      <c r="S8" s="251"/>
      <c r="T8" s="252"/>
      <c r="U8" s="252"/>
      <c r="V8" s="252"/>
      <c r="W8" s="557" t="s">
        <v>142</v>
      </c>
      <c r="X8" s="557"/>
      <c r="Y8" s="557"/>
      <c r="Z8" s="557"/>
      <c r="AA8" s="557"/>
      <c r="AB8" s="557"/>
      <c r="AC8" s="557"/>
      <c r="AD8" s="557"/>
      <c r="AE8" s="557"/>
      <c r="AF8" s="557"/>
      <c r="AG8" s="557"/>
      <c r="AH8" s="557"/>
      <c r="AI8" s="557"/>
      <c r="AJ8" s="557"/>
      <c r="AK8" s="557"/>
      <c r="AL8" s="557"/>
      <c r="AM8" s="557"/>
      <c r="AN8" s="557"/>
      <c r="AO8" s="557"/>
      <c r="AP8" s="557"/>
      <c r="AQ8" s="557"/>
      <c r="AR8" s="557"/>
      <c r="AS8" s="557"/>
      <c r="AT8" s="557"/>
      <c r="AU8" s="557"/>
      <c r="AV8" s="557"/>
      <c r="AW8" s="557"/>
      <c r="AX8" s="557"/>
      <c r="AY8" s="557"/>
      <c r="AZ8" s="557"/>
      <c r="BA8" s="557"/>
      <c r="BB8" s="252"/>
      <c r="BC8" s="248"/>
      <c r="BD8" s="551"/>
      <c r="BE8" s="551"/>
      <c r="BF8" s="551"/>
      <c r="BG8" s="551"/>
      <c r="BH8" s="551"/>
      <c r="BI8" s="551"/>
      <c r="BJ8" s="551"/>
      <c r="BK8" s="551"/>
      <c r="BL8" s="551"/>
    </row>
    <row r="9" spans="2:67" ht="15" x14ac:dyDescent="0.2">
      <c r="B9" s="248"/>
      <c r="C9" s="250"/>
      <c r="D9" s="565"/>
      <c r="E9" s="565"/>
      <c r="F9" s="565"/>
      <c r="G9" s="565"/>
      <c r="H9" s="565"/>
      <c r="I9" s="565"/>
      <c r="J9" s="565"/>
      <c r="K9" s="565"/>
      <c r="L9" s="565"/>
      <c r="M9" s="565"/>
      <c r="N9" s="565"/>
      <c r="O9" s="565"/>
      <c r="P9" s="565"/>
      <c r="Q9" s="565"/>
      <c r="R9" s="565"/>
      <c r="S9" s="253"/>
      <c r="T9" s="252"/>
      <c r="U9" s="252"/>
      <c r="V9" s="252"/>
      <c r="W9" s="551" t="s">
        <v>101</v>
      </c>
      <c r="X9" s="551"/>
      <c r="Y9" s="551"/>
      <c r="Z9" s="551"/>
      <c r="AA9" s="551"/>
      <c r="AB9" s="551"/>
      <c r="AC9" s="551"/>
      <c r="AD9" s="551"/>
      <c r="AE9" s="551"/>
      <c r="AF9" s="551"/>
      <c r="AG9" s="551"/>
      <c r="AH9" s="551"/>
      <c r="AI9" s="551"/>
      <c r="AJ9" s="551"/>
      <c r="AK9" s="551"/>
      <c r="AL9" s="551"/>
      <c r="AM9" s="551"/>
      <c r="AN9" s="551"/>
      <c r="AO9" s="551"/>
      <c r="AP9" s="551"/>
      <c r="AQ9" s="551"/>
      <c r="AR9" s="551"/>
      <c r="AS9" s="551"/>
      <c r="AT9" s="551"/>
      <c r="AU9" s="551"/>
      <c r="AV9" s="551"/>
      <c r="AW9" s="551"/>
      <c r="AX9" s="551"/>
      <c r="AY9" s="551"/>
      <c r="AZ9" s="551"/>
      <c r="BA9" s="551"/>
      <c r="BB9" s="252"/>
      <c r="BC9" s="248"/>
      <c r="BD9" s="551"/>
      <c r="BE9" s="551"/>
      <c r="BF9" s="551"/>
      <c r="BG9" s="551"/>
      <c r="BH9" s="551"/>
      <c r="BI9" s="551"/>
      <c r="BJ9" s="551"/>
      <c r="BK9" s="551"/>
      <c r="BL9" s="551"/>
    </row>
    <row r="10" spans="2:67" ht="15" x14ac:dyDescent="0.2">
      <c r="B10" s="248"/>
      <c r="C10" s="250"/>
      <c r="D10" s="248"/>
      <c r="E10" s="248"/>
      <c r="F10" s="248"/>
      <c r="G10" s="248"/>
      <c r="H10" s="248"/>
      <c r="I10" s="248"/>
      <c r="J10" s="248"/>
      <c r="K10" s="248"/>
      <c r="L10" s="248"/>
      <c r="M10" s="248"/>
      <c r="N10" s="248"/>
      <c r="O10" s="248"/>
      <c r="P10" s="248"/>
      <c r="Q10" s="248"/>
      <c r="R10" s="248"/>
      <c r="S10" s="248"/>
      <c r="T10" s="248"/>
      <c r="U10" s="248"/>
      <c r="V10" s="248"/>
      <c r="W10" s="551" t="s">
        <v>143</v>
      </c>
      <c r="X10" s="551"/>
      <c r="Y10" s="551"/>
      <c r="Z10" s="551"/>
      <c r="AA10" s="551"/>
      <c r="AB10" s="551"/>
      <c r="AC10" s="551"/>
      <c r="AD10" s="551"/>
      <c r="AE10" s="551"/>
      <c r="AF10" s="551"/>
      <c r="AG10" s="551"/>
      <c r="AH10" s="551"/>
      <c r="AI10" s="551"/>
      <c r="AJ10" s="551"/>
      <c r="AK10" s="551"/>
      <c r="AL10" s="551"/>
      <c r="AM10" s="551"/>
      <c r="AN10" s="551"/>
      <c r="AO10" s="551"/>
      <c r="AP10" s="551"/>
      <c r="AQ10" s="551"/>
      <c r="AR10" s="551"/>
      <c r="AS10" s="551"/>
      <c r="AT10" s="551"/>
      <c r="AU10" s="551"/>
      <c r="AV10" s="551"/>
      <c r="AW10" s="551"/>
      <c r="AX10" s="551"/>
      <c r="AY10" s="551"/>
      <c r="AZ10" s="551"/>
      <c r="BA10" s="551"/>
      <c r="BB10" s="248"/>
      <c r="BC10" s="248"/>
      <c r="BD10" s="551"/>
      <c r="BE10" s="551"/>
      <c r="BF10" s="551"/>
      <c r="BG10" s="551"/>
      <c r="BH10" s="551"/>
      <c r="BI10" s="551"/>
      <c r="BJ10" s="551"/>
      <c r="BK10" s="551"/>
      <c r="BL10" s="551"/>
    </row>
    <row r="11" spans="2:67" ht="15" x14ac:dyDescent="0.2">
      <c r="B11" s="248"/>
      <c r="C11" s="250"/>
      <c r="D11" s="248"/>
      <c r="E11" s="248"/>
      <c r="F11" s="248"/>
      <c r="G11" s="248"/>
      <c r="H11" s="248"/>
      <c r="I11" s="248"/>
      <c r="J11" s="248"/>
      <c r="K11" s="248"/>
      <c r="L11" s="248"/>
      <c r="M11" s="248"/>
      <c r="N11" s="248"/>
      <c r="O11" s="248"/>
      <c r="P11" s="248"/>
      <c r="Q11" s="248"/>
      <c r="R11" s="248"/>
      <c r="S11" s="248"/>
      <c r="T11" s="248"/>
      <c r="U11" s="248"/>
      <c r="V11" s="248"/>
      <c r="W11" s="551"/>
      <c r="X11" s="552"/>
      <c r="Y11" s="552"/>
      <c r="Z11" s="552"/>
      <c r="AA11" s="552"/>
      <c r="AB11" s="552"/>
      <c r="AC11" s="552"/>
      <c r="AD11" s="552"/>
      <c r="AE11" s="552"/>
      <c r="AF11" s="552"/>
      <c r="AG11" s="552"/>
      <c r="AH11" s="552"/>
      <c r="AI11" s="552"/>
      <c r="AJ11" s="552"/>
      <c r="AK11" s="552"/>
      <c r="AL11" s="552"/>
      <c r="AM11" s="552"/>
      <c r="AN11" s="552"/>
      <c r="AO11" s="552"/>
      <c r="AP11" s="552"/>
      <c r="AQ11" s="552"/>
      <c r="AR11" s="552"/>
      <c r="AS11" s="552"/>
      <c r="AT11" s="552"/>
      <c r="AU11" s="552"/>
      <c r="AV11" s="552"/>
      <c r="AW11" s="552"/>
      <c r="AX11" s="552"/>
      <c r="AY11" s="552"/>
      <c r="AZ11" s="552"/>
      <c r="BA11" s="552"/>
      <c r="BB11" s="248"/>
      <c r="BC11" s="248"/>
      <c r="BD11" s="551"/>
      <c r="BE11" s="551"/>
      <c r="BF11" s="551"/>
      <c r="BG11" s="551"/>
      <c r="BH11" s="551"/>
      <c r="BI11" s="551"/>
      <c r="BJ11" s="551"/>
      <c r="BK11" s="551"/>
      <c r="BL11" s="551"/>
    </row>
    <row r="13" spans="2:67" ht="16.5" thickBot="1" x14ac:dyDescent="0.25">
      <c r="B13" s="566" t="s">
        <v>102</v>
      </c>
      <c r="C13" s="566"/>
      <c r="D13" s="566"/>
      <c r="E13" s="566"/>
      <c r="F13" s="566"/>
      <c r="G13" s="566"/>
      <c r="H13" s="566"/>
      <c r="I13" s="566"/>
      <c r="J13" s="566"/>
      <c r="K13" s="566"/>
      <c r="L13" s="566"/>
      <c r="M13" s="566"/>
      <c r="N13" s="566"/>
      <c r="O13" s="566"/>
      <c r="P13" s="566"/>
      <c r="Q13" s="566"/>
      <c r="R13" s="566"/>
      <c r="S13" s="566"/>
      <c r="T13" s="566"/>
      <c r="U13" s="566"/>
      <c r="V13" s="566"/>
      <c r="W13" s="566"/>
      <c r="X13" s="566"/>
      <c r="Y13" s="566"/>
      <c r="Z13" s="566"/>
      <c r="AA13" s="566"/>
      <c r="AB13" s="566"/>
      <c r="AC13" s="566"/>
      <c r="AD13" s="566"/>
      <c r="AE13" s="566"/>
      <c r="AF13" s="566"/>
      <c r="AG13" s="566"/>
      <c r="AH13" s="566"/>
      <c r="AI13" s="566"/>
      <c r="AJ13" s="566"/>
      <c r="AK13" s="566"/>
      <c r="AL13" s="566"/>
      <c r="AM13" s="566"/>
      <c r="AN13" s="566"/>
      <c r="AO13" s="566"/>
      <c r="AP13" s="566"/>
      <c r="AQ13" s="566"/>
      <c r="AR13" s="566"/>
      <c r="AS13" s="566"/>
      <c r="AT13" s="566"/>
      <c r="AU13" s="566"/>
      <c r="AV13" s="566"/>
      <c r="AW13" s="566"/>
      <c r="AX13" s="566"/>
      <c r="AY13" s="566"/>
      <c r="AZ13" s="566"/>
      <c r="BA13" s="566"/>
      <c r="BB13" s="566"/>
      <c r="BC13" s="566"/>
      <c r="BD13" s="545" t="s">
        <v>103</v>
      </c>
      <c r="BE13" s="545"/>
      <c r="BF13" s="545"/>
      <c r="BG13" s="545"/>
      <c r="BH13" s="545"/>
      <c r="BI13" s="545"/>
      <c r="BJ13" s="545"/>
      <c r="BK13" s="545"/>
      <c r="BL13" s="546"/>
    </row>
    <row r="14" spans="2:67" x14ac:dyDescent="0.2">
      <c r="B14" s="567" t="s">
        <v>104</v>
      </c>
      <c r="C14" s="568"/>
      <c r="D14" s="560" t="s">
        <v>105</v>
      </c>
      <c r="E14" s="560"/>
      <c r="F14" s="560"/>
      <c r="G14" s="561"/>
      <c r="H14" s="573" t="s">
        <v>106</v>
      </c>
      <c r="I14" s="559" t="s">
        <v>107</v>
      </c>
      <c r="J14" s="560"/>
      <c r="K14" s="561"/>
      <c r="L14" s="573" t="s">
        <v>108</v>
      </c>
      <c r="M14" s="559" t="s">
        <v>109</v>
      </c>
      <c r="N14" s="560"/>
      <c r="O14" s="560"/>
      <c r="P14" s="561"/>
      <c r="Q14" s="559" t="s">
        <v>110</v>
      </c>
      <c r="R14" s="560"/>
      <c r="S14" s="560"/>
      <c r="T14" s="561"/>
      <c r="U14" s="573" t="s">
        <v>111</v>
      </c>
      <c r="V14" s="559" t="s">
        <v>112</v>
      </c>
      <c r="W14" s="560"/>
      <c r="X14" s="561"/>
      <c r="Y14" s="573" t="s">
        <v>113</v>
      </c>
      <c r="Z14" s="559" t="s">
        <v>114</v>
      </c>
      <c r="AA14" s="560"/>
      <c r="AB14" s="561"/>
      <c r="AC14" s="573" t="s">
        <v>115</v>
      </c>
      <c r="AD14" s="559" t="s">
        <v>116</v>
      </c>
      <c r="AE14" s="560"/>
      <c r="AF14" s="560"/>
      <c r="AG14" s="561"/>
      <c r="AH14" s="573" t="s">
        <v>117</v>
      </c>
      <c r="AI14" s="559" t="s">
        <v>118</v>
      </c>
      <c r="AJ14" s="560"/>
      <c r="AK14" s="561"/>
      <c r="AL14" s="573" t="s">
        <v>119</v>
      </c>
      <c r="AM14" s="559" t="s">
        <v>120</v>
      </c>
      <c r="AN14" s="560"/>
      <c r="AO14" s="560"/>
      <c r="AP14" s="561"/>
      <c r="AQ14" s="559" t="s">
        <v>121</v>
      </c>
      <c r="AR14" s="560"/>
      <c r="AS14" s="560"/>
      <c r="AT14" s="561"/>
      <c r="AU14" s="573" t="s">
        <v>122</v>
      </c>
      <c r="AV14" s="559" t="s">
        <v>123</v>
      </c>
      <c r="AW14" s="560"/>
      <c r="AX14" s="561"/>
      <c r="AY14" s="573" t="s">
        <v>124</v>
      </c>
      <c r="AZ14" s="559" t="s">
        <v>125</v>
      </c>
      <c r="BA14" s="560"/>
      <c r="BB14" s="560"/>
      <c r="BC14" s="583"/>
      <c r="BD14" s="585" t="s">
        <v>104</v>
      </c>
      <c r="BE14" s="588" t="s">
        <v>126</v>
      </c>
      <c r="BF14" s="592" t="s">
        <v>24</v>
      </c>
      <c r="BG14" s="595" t="s">
        <v>127</v>
      </c>
      <c r="BH14" s="596"/>
      <c r="BI14" s="599" t="s">
        <v>128</v>
      </c>
      <c r="BJ14" s="599" t="s">
        <v>50</v>
      </c>
      <c r="BK14" s="602" t="s">
        <v>129</v>
      </c>
      <c r="BL14" s="575" t="s">
        <v>2</v>
      </c>
    </row>
    <row r="15" spans="2:67" ht="33.75" customHeight="1" x14ac:dyDescent="0.2">
      <c r="B15" s="569"/>
      <c r="C15" s="570"/>
      <c r="D15" s="563"/>
      <c r="E15" s="563"/>
      <c r="F15" s="563"/>
      <c r="G15" s="564"/>
      <c r="H15" s="574"/>
      <c r="I15" s="562"/>
      <c r="J15" s="563"/>
      <c r="K15" s="564"/>
      <c r="L15" s="574"/>
      <c r="M15" s="562"/>
      <c r="N15" s="563"/>
      <c r="O15" s="563"/>
      <c r="P15" s="564"/>
      <c r="Q15" s="562"/>
      <c r="R15" s="563"/>
      <c r="S15" s="563"/>
      <c r="T15" s="564"/>
      <c r="U15" s="574"/>
      <c r="V15" s="562"/>
      <c r="W15" s="563"/>
      <c r="X15" s="564"/>
      <c r="Y15" s="574"/>
      <c r="Z15" s="562"/>
      <c r="AA15" s="563"/>
      <c r="AB15" s="564"/>
      <c r="AC15" s="574"/>
      <c r="AD15" s="562"/>
      <c r="AE15" s="563"/>
      <c r="AF15" s="563"/>
      <c r="AG15" s="564"/>
      <c r="AH15" s="574"/>
      <c r="AI15" s="562"/>
      <c r="AJ15" s="563"/>
      <c r="AK15" s="564"/>
      <c r="AL15" s="574"/>
      <c r="AM15" s="562"/>
      <c r="AN15" s="563"/>
      <c r="AO15" s="563"/>
      <c r="AP15" s="564"/>
      <c r="AQ15" s="562"/>
      <c r="AR15" s="563"/>
      <c r="AS15" s="563"/>
      <c r="AT15" s="564"/>
      <c r="AU15" s="574"/>
      <c r="AV15" s="562"/>
      <c r="AW15" s="563"/>
      <c r="AX15" s="564"/>
      <c r="AY15" s="574"/>
      <c r="AZ15" s="562"/>
      <c r="BA15" s="563"/>
      <c r="BB15" s="563"/>
      <c r="BC15" s="584"/>
      <c r="BD15" s="586"/>
      <c r="BE15" s="589"/>
      <c r="BF15" s="593"/>
      <c r="BG15" s="597"/>
      <c r="BH15" s="598"/>
      <c r="BI15" s="600"/>
      <c r="BJ15" s="600"/>
      <c r="BK15" s="603"/>
      <c r="BL15" s="576"/>
    </row>
    <row r="16" spans="2:67" x14ac:dyDescent="0.2">
      <c r="B16" s="569"/>
      <c r="C16" s="570"/>
      <c r="D16" s="254"/>
      <c r="E16" s="255"/>
      <c r="F16" s="255"/>
      <c r="G16" s="256"/>
      <c r="H16" s="574"/>
      <c r="I16" s="255"/>
      <c r="J16" s="255"/>
      <c r="K16" s="256"/>
      <c r="L16" s="574"/>
      <c r="M16" s="255"/>
      <c r="N16" s="255"/>
      <c r="O16" s="255"/>
      <c r="P16" s="255"/>
      <c r="Q16" s="255"/>
      <c r="R16" s="255"/>
      <c r="S16" s="255"/>
      <c r="T16" s="256"/>
      <c r="U16" s="574"/>
      <c r="V16" s="255"/>
      <c r="W16" s="255"/>
      <c r="X16" s="257"/>
      <c r="Y16" s="574"/>
      <c r="Z16" s="255"/>
      <c r="AA16" s="255"/>
      <c r="AB16" s="256"/>
      <c r="AC16" s="574"/>
      <c r="AD16" s="255"/>
      <c r="AE16" s="255"/>
      <c r="AF16" s="255"/>
      <c r="AG16" s="256"/>
      <c r="AH16" s="574"/>
      <c r="AI16" s="255"/>
      <c r="AJ16" s="255"/>
      <c r="AK16" s="256"/>
      <c r="AL16" s="574"/>
      <c r="AM16" s="255"/>
      <c r="AN16" s="255"/>
      <c r="AO16" s="255"/>
      <c r="AP16" s="255"/>
      <c r="AQ16" s="255"/>
      <c r="AR16" s="255"/>
      <c r="AS16" s="255"/>
      <c r="AT16" s="256"/>
      <c r="AU16" s="574"/>
      <c r="AV16" s="255"/>
      <c r="AW16" s="255"/>
      <c r="AX16" s="256"/>
      <c r="AY16" s="574"/>
      <c r="AZ16" s="255"/>
      <c r="BA16" s="255"/>
      <c r="BB16" s="255"/>
      <c r="BC16" s="258"/>
      <c r="BD16" s="586"/>
      <c r="BE16" s="590"/>
      <c r="BF16" s="593"/>
      <c r="BG16" s="578" t="s">
        <v>127</v>
      </c>
      <c r="BH16" s="581" t="s">
        <v>130</v>
      </c>
      <c r="BI16" s="600"/>
      <c r="BJ16" s="600"/>
      <c r="BK16" s="603"/>
      <c r="BL16" s="576"/>
    </row>
    <row r="17" spans="2:64" x14ac:dyDescent="0.2">
      <c r="B17" s="569"/>
      <c r="C17" s="570"/>
      <c r="D17" s="257"/>
      <c r="E17" s="259"/>
      <c r="F17" s="259"/>
      <c r="G17" s="257"/>
      <c r="H17" s="574"/>
      <c r="I17" s="259"/>
      <c r="J17" s="259"/>
      <c r="K17" s="257"/>
      <c r="L17" s="574"/>
      <c r="M17" s="259"/>
      <c r="N17" s="259"/>
      <c r="O17" s="259"/>
      <c r="P17" s="259"/>
      <c r="Q17" s="259"/>
      <c r="R17" s="259"/>
      <c r="S17" s="259"/>
      <c r="T17" s="257"/>
      <c r="U17" s="574"/>
      <c r="V17" s="259"/>
      <c r="W17" s="259"/>
      <c r="X17" s="257"/>
      <c r="Y17" s="574"/>
      <c r="Z17" s="259"/>
      <c r="AA17" s="259"/>
      <c r="AB17" s="257"/>
      <c r="AC17" s="574"/>
      <c r="AD17" s="259"/>
      <c r="AE17" s="259"/>
      <c r="AF17" s="259"/>
      <c r="AG17" s="257"/>
      <c r="AH17" s="574"/>
      <c r="AI17" s="259"/>
      <c r="AJ17" s="259"/>
      <c r="AK17" s="257"/>
      <c r="AL17" s="574"/>
      <c r="AM17" s="259"/>
      <c r="AN17" s="259"/>
      <c r="AO17" s="259"/>
      <c r="AP17" s="259"/>
      <c r="AQ17" s="259"/>
      <c r="AR17" s="259"/>
      <c r="AS17" s="259"/>
      <c r="AT17" s="257"/>
      <c r="AU17" s="574"/>
      <c r="AV17" s="259"/>
      <c r="AW17" s="259"/>
      <c r="AX17" s="257"/>
      <c r="AY17" s="574"/>
      <c r="AZ17" s="259"/>
      <c r="BA17" s="259"/>
      <c r="BB17" s="259"/>
      <c r="BC17" s="258"/>
      <c r="BD17" s="586"/>
      <c r="BE17" s="590"/>
      <c r="BF17" s="593"/>
      <c r="BG17" s="579"/>
      <c r="BH17" s="581"/>
      <c r="BI17" s="600"/>
      <c r="BJ17" s="600"/>
      <c r="BK17" s="603"/>
      <c r="BL17" s="576"/>
    </row>
    <row r="18" spans="2:64" x14ac:dyDescent="0.2">
      <c r="B18" s="569"/>
      <c r="C18" s="570"/>
      <c r="D18" s="257">
        <v>1</v>
      </c>
      <c r="E18" s="259">
        <v>8</v>
      </c>
      <c r="F18" s="259">
        <v>15</v>
      </c>
      <c r="G18" s="259">
        <v>22</v>
      </c>
      <c r="H18" s="574"/>
      <c r="I18" s="259">
        <v>6</v>
      </c>
      <c r="J18" s="259">
        <v>13</v>
      </c>
      <c r="K18" s="259">
        <v>20</v>
      </c>
      <c r="L18" s="574"/>
      <c r="M18" s="259">
        <v>3</v>
      </c>
      <c r="N18" s="257">
        <v>10</v>
      </c>
      <c r="O18" s="259">
        <v>17</v>
      </c>
      <c r="P18" s="259">
        <v>24</v>
      </c>
      <c r="Q18" s="259">
        <v>1</v>
      </c>
      <c r="R18" s="259">
        <v>8</v>
      </c>
      <c r="S18" s="259">
        <v>15</v>
      </c>
      <c r="T18" s="259">
        <v>22</v>
      </c>
      <c r="U18" s="574"/>
      <c r="V18" s="259">
        <v>5</v>
      </c>
      <c r="W18" s="259">
        <v>12</v>
      </c>
      <c r="X18" s="259">
        <v>19</v>
      </c>
      <c r="Y18" s="574"/>
      <c r="Z18" s="259">
        <v>2</v>
      </c>
      <c r="AA18" s="259">
        <v>9</v>
      </c>
      <c r="AB18" s="259">
        <v>16</v>
      </c>
      <c r="AC18" s="574"/>
      <c r="AD18" s="259">
        <v>2</v>
      </c>
      <c r="AE18" s="259">
        <v>9</v>
      </c>
      <c r="AF18" s="259">
        <v>16</v>
      </c>
      <c r="AG18" s="259">
        <v>23</v>
      </c>
      <c r="AH18" s="574"/>
      <c r="AI18" s="259">
        <v>6</v>
      </c>
      <c r="AJ18" s="259">
        <v>13</v>
      </c>
      <c r="AK18" s="259">
        <v>20</v>
      </c>
      <c r="AL18" s="574"/>
      <c r="AM18" s="259">
        <v>4</v>
      </c>
      <c r="AN18" s="259">
        <v>11</v>
      </c>
      <c r="AO18" s="259">
        <v>18</v>
      </c>
      <c r="AP18" s="259">
        <v>25</v>
      </c>
      <c r="AQ18" s="259">
        <v>1</v>
      </c>
      <c r="AR18" s="259">
        <v>8</v>
      </c>
      <c r="AS18" s="259">
        <v>15</v>
      </c>
      <c r="AT18" s="259">
        <v>22</v>
      </c>
      <c r="AU18" s="574"/>
      <c r="AV18" s="259">
        <v>6</v>
      </c>
      <c r="AW18" s="259">
        <v>13</v>
      </c>
      <c r="AX18" s="259">
        <v>20</v>
      </c>
      <c r="AY18" s="574"/>
      <c r="AZ18" s="259">
        <v>3</v>
      </c>
      <c r="BA18" s="259">
        <v>10</v>
      </c>
      <c r="BB18" s="259">
        <v>17</v>
      </c>
      <c r="BC18" s="260">
        <v>24</v>
      </c>
      <c r="BD18" s="586"/>
      <c r="BE18" s="590"/>
      <c r="BF18" s="593"/>
      <c r="BG18" s="579"/>
      <c r="BH18" s="581"/>
      <c r="BI18" s="600"/>
      <c r="BJ18" s="600"/>
      <c r="BK18" s="603"/>
      <c r="BL18" s="576"/>
    </row>
    <row r="19" spans="2:64" x14ac:dyDescent="0.2">
      <c r="B19" s="569"/>
      <c r="C19" s="570"/>
      <c r="D19" s="257">
        <v>7</v>
      </c>
      <c r="E19" s="259">
        <v>14</v>
      </c>
      <c r="F19" s="259">
        <v>21</v>
      </c>
      <c r="G19" s="259">
        <v>28</v>
      </c>
      <c r="H19" s="574"/>
      <c r="I19" s="259">
        <v>12</v>
      </c>
      <c r="J19" s="259">
        <v>19</v>
      </c>
      <c r="K19" s="259">
        <v>26</v>
      </c>
      <c r="L19" s="574"/>
      <c r="M19" s="259">
        <v>9</v>
      </c>
      <c r="N19" s="259">
        <v>16</v>
      </c>
      <c r="O19" s="259">
        <v>23</v>
      </c>
      <c r="P19" s="259">
        <v>30</v>
      </c>
      <c r="Q19" s="259">
        <v>7</v>
      </c>
      <c r="R19" s="259">
        <v>14</v>
      </c>
      <c r="S19" s="259">
        <v>21</v>
      </c>
      <c r="T19" s="259">
        <v>28</v>
      </c>
      <c r="U19" s="574"/>
      <c r="V19" s="259">
        <v>11</v>
      </c>
      <c r="W19" s="259">
        <v>18</v>
      </c>
      <c r="X19" s="259">
        <v>25</v>
      </c>
      <c r="Y19" s="574"/>
      <c r="Z19" s="259">
        <v>8</v>
      </c>
      <c r="AA19" s="259">
        <v>15</v>
      </c>
      <c r="AB19" s="259">
        <v>22</v>
      </c>
      <c r="AC19" s="574"/>
      <c r="AD19" s="259">
        <v>8</v>
      </c>
      <c r="AE19" s="259">
        <v>15</v>
      </c>
      <c r="AF19" s="259">
        <v>22</v>
      </c>
      <c r="AG19" s="259">
        <v>29</v>
      </c>
      <c r="AH19" s="574"/>
      <c r="AI19" s="259">
        <v>12</v>
      </c>
      <c r="AJ19" s="259">
        <v>19</v>
      </c>
      <c r="AK19" s="259">
        <v>26</v>
      </c>
      <c r="AL19" s="574"/>
      <c r="AM19" s="259">
        <v>10</v>
      </c>
      <c r="AN19" s="259">
        <v>17</v>
      </c>
      <c r="AO19" s="259">
        <v>24</v>
      </c>
      <c r="AP19" s="259">
        <v>31</v>
      </c>
      <c r="AQ19" s="259">
        <v>7</v>
      </c>
      <c r="AR19" s="259">
        <v>14</v>
      </c>
      <c r="AS19" s="259">
        <v>21</v>
      </c>
      <c r="AT19" s="259">
        <v>28</v>
      </c>
      <c r="AU19" s="574"/>
      <c r="AV19" s="259">
        <v>12</v>
      </c>
      <c r="AW19" s="259">
        <v>19</v>
      </c>
      <c r="AX19" s="259">
        <v>26</v>
      </c>
      <c r="AY19" s="574"/>
      <c r="AZ19" s="259">
        <v>9</v>
      </c>
      <c r="BA19" s="259">
        <v>16</v>
      </c>
      <c r="BB19" s="259">
        <v>23</v>
      </c>
      <c r="BC19" s="260">
        <v>31</v>
      </c>
      <c r="BD19" s="586"/>
      <c r="BE19" s="590"/>
      <c r="BF19" s="593"/>
      <c r="BG19" s="579"/>
      <c r="BH19" s="581"/>
      <c r="BI19" s="600"/>
      <c r="BJ19" s="600"/>
      <c r="BK19" s="603"/>
      <c r="BL19" s="576"/>
    </row>
    <row r="20" spans="2:64" x14ac:dyDescent="0.2">
      <c r="B20" s="569"/>
      <c r="C20" s="570"/>
      <c r="D20" s="257"/>
      <c r="E20" s="259"/>
      <c r="F20" s="259"/>
      <c r="G20" s="259"/>
      <c r="H20" s="574"/>
      <c r="I20" s="259"/>
      <c r="J20" s="259"/>
      <c r="K20" s="259"/>
      <c r="L20" s="574"/>
      <c r="M20" s="259"/>
      <c r="N20" s="259"/>
      <c r="O20" s="259"/>
      <c r="P20" s="259"/>
      <c r="Q20" s="259"/>
      <c r="R20" s="259"/>
      <c r="S20" s="259"/>
      <c r="T20" s="259"/>
      <c r="U20" s="574"/>
      <c r="V20" s="259"/>
      <c r="W20" s="259"/>
      <c r="X20" s="259"/>
      <c r="Y20" s="574"/>
      <c r="Z20" s="259"/>
      <c r="AA20" s="259"/>
      <c r="AB20" s="259"/>
      <c r="AC20" s="574"/>
      <c r="AD20" s="259"/>
      <c r="AE20" s="259"/>
      <c r="AF20" s="259"/>
      <c r="AG20" s="259"/>
      <c r="AH20" s="574"/>
      <c r="AI20" s="259"/>
      <c r="AJ20" s="259"/>
      <c r="AK20" s="259"/>
      <c r="AL20" s="574"/>
      <c r="AM20" s="259"/>
      <c r="AN20" s="259"/>
      <c r="AO20" s="259"/>
      <c r="AP20" s="259"/>
      <c r="AQ20" s="259"/>
      <c r="AR20" s="259"/>
      <c r="AS20" s="259"/>
      <c r="AT20" s="259"/>
      <c r="AU20" s="574"/>
      <c r="AV20" s="259"/>
      <c r="AW20" s="259"/>
      <c r="AX20" s="259"/>
      <c r="AY20" s="574"/>
      <c r="AZ20" s="259"/>
      <c r="BA20" s="259"/>
      <c r="BB20" s="259"/>
      <c r="BC20" s="260"/>
      <c r="BD20" s="586"/>
      <c r="BE20" s="590"/>
      <c r="BF20" s="593"/>
      <c r="BG20" s="579"/>
      <c r="BH20" s="581"/>
      <c r="BI20" s="600"/>
      <c r="BJ20" s="600"/>
      <c r="BK20" s="603"/>
      <c r="BL20" s="576"/>
    </row>
    <row r="21" spans="2:64" x14ac:dyDescent="0.2">
      <c r="B21" s="569"/>
      <c r="C21" s="570"/>
      <c r="D21" s="257"/>
      <c r="E21" s="259"/>
      <c r="F21" s="259"/>
      <c r="G21" s="259"/>
      <c r="H21" s="574"/>
      <c r="I21" s="259"/>
      <c r="J21" s="259"/>
      <c r="K21" s="259"/>
      <c r="L21" s="574"/>
      <c r="M21" s="259"/>
      <c r="N21" s="259"/>
      <c r="O21" s="259"/>
      <c r="P21" s="259"/>
      <c r="Q21" s="259"/>
      <c r="R21" s="259"/>
      <c r="S21" s="259"/>
      <c r="T21" s="259"/>
      <c r="U21" s="574"/>
      <c r="V21" s="259"/>
      <c r="W21" s="259"/>
      <c r="X21" s="259"/>
      <c r="Y21" s="574"/>
      <c r="Z21" s="259"/>
      <c r="AA21" s="259"/>
      <c r="AB21" s="259"/>
      <c r="AC21" s="574"/>
      <c r="AD21" s="259"/>
      <c r="AE21" s="259"/>
      <c r="AF21" s="259"/>
      <c r="AG21" s="259"/>
      <c r="AH21" s="574"/>
      <c r="AI21" s="259"/>
      <c r="AJ21" s="259"/>
      <c r="AK21" s="259"/>
      <c r="AL21" s="574"/>
      <c r="AM21" s="259"/>
      <c r="AN21" s="259"/>
      <c r="AO21" s="259"/>
      <c r="AP21" s="259"/>
      <c r="AQ21" s="259"/>
      <c r="AR21" s="259"/>
      <c r="AS21" s="259"/>
      <c r="AT21" s="259"/>
      <c r="AU21" s="574"/>
      <c r="AV21" s="259"/>
      <c r="AW21" s="259"/>
      <c r="AX21" s="259"/>
      <c r="AY21" s="574"/>
      <c r="AZ21" s="259"/>
      <c r="BA21" s="259"/>
      <c r="BB21" s="259"/>
      <c r="BC21" s="260"/>
      <c r="BD21" s="586"/>
      <c r="BE21" s="590"/>
      <c r="BF21" s="593"/>
      <c r="BG21" s="579"/>
      <c r="BH21" s="581"/>
      <c r="BI21" s="600"/>
      <c r="BJ21" s="600"/>
      <c r="BK21" s="603"/>
      <c r="BL21" s="576"/>
    </row>
    <row r="22" spans="2:64" x14ac:dyDescent="0.2">
      <c r="B22" s="569"/>
      <c r="C22" s="570"/>
      <c r="D22" s="257"/>
      <c r="E22" s="259"/>
      <c r="F22" s="259"/>
      <c r="G22" s="259"/>
      <c r="H22" s="574"/>
      <c r="I22" s="259"/>
      <c r="J22" s="259"/>
      <c r="K22" s="259"/>
      <c r="L22" s="574"/>
      <c r="M22" s="259"/>
      <c r="N22" s="259"/>
      <c r="O22" s="259"/>
      <c r="P22" s="259"/>
      <c r="Q22" s="259"/>
      <c r="R22" s="259"/>
      <c r="S22" s="259"/>
      <c r="T22" s="259"/>
      <c r="U22" s="574"/>
      <c r="V22" s="259"/>
      <c r="W22" s="259"/>
      <c r="X22" s="259"/>
      <c r="Y22" s="574"/>
      <c r="Z22" s="259"/>
      <c r="AA22" s="259"/>
      <c r="AB22" s="259"/>
      <c r="AC22" s="574"/>
      <c r="AD22" s="259"/>
      <c r="AE22" s="259"/>
      <c r="AF22" s="259"/>
      <c r="AG22" s="259"/>
      <c r="AH22" s="574"/>
      <c r="AI22" s="259"/>
      <c r="AJ22" s="259"/>
      <c r="AK22" s="259"/>
      <c r="AL22" s="574"/>
      <c r="AM22" s="259"/>
      <c r="AN22" s="259"/>
      <c r="AO22" s="259"/>
      <c r="AP22" s="259"/>
      <c r="AQ22" s="259"/>
      <c r="AR22" s="259"/>
      <c r="AS22" s="259"/>
      <c r="AT22" s="259"/>
      <c r="AU22" s="574"/>
      <c r="AV22" s="259"/>
      <c r="AW22" s="259"/>
      <c r="AX22" s="259"/>
      <c r="AY22" s="574"/>
      <c r="AZ22" s="259"/>
      <c r="BA22" s="259"/>
      <c r="BB22" s="259"/>
      <c r="BC22" s="260"/>
      <c r="BD22" s="586"/>
      <c r="BE22" s="590"/>
      <c r="BF22" s="593"/>
      <c r="BG22" s="579"/>
      <c r="BH22" s="581"/>
      <c r="BI22" s="600"/>
      <c r="BJ22" s="600"/>
      <c r="BK22" s="603"/>
      <c r="BL22" s="576"/>
    </row>
    <row r="23" spans="2:64" ht="18" customHeight="1" thickBot="1" x14ac:dyDescent="0.25">
      <c r="B23" s="571"/>
      <c r="C23" s="572"/>
      <c r="D23" s="257"/>
      <c r="E23" s="259"/>
      <c r="F23" s="259"/>
      <c r="G23" s="259"/>
      <c r="H23" s="574"/>
      <c r="I23" s="259"/>
      <c r="J23" s="259"/>
      <c r="K23" s="259"/>
      <c r="L23" s="574"/>
      <c r="M23" s="259"/>
      <c r="N23" s="259"/>
      <c r="O23" s="259"/>
      <c r="P23" s="259"/>
      <c r="Q23" s="259"/>
      <c r="R23" s="259"/>
      <c r="S23" s="259"/>
      <c r="T23" s="259"/>
      <c r="U23" s="574"/>
      <c r="V23" s="259"/>
      <c r="W23" s="259"/>
      <c r="X23" s="259"/>
      <c r="Y23" s="574"/>
      <c r="Z23" s="259"/>
      <c r="AA23" s="259"/>
      <c r="AB23" s="259"/>
      <c r="AC23" s="574"/>
      <c r="AD23" s="259"/>
      <c r="AE23" s="259"/>
      <c r="AF23" s="259"/>
      <c r="AG23" s="259"/>
      <c r="AH23" s="574"/>
      <c r="AI23" s="259"/>
      <c r="AJ23" s="259"/>
      <c r="AK23" s="259"/>
      <c r="AL23" s="574"/>
      <c r="AM23" s="259"/>
      <c r="AN23" s="259"/>
      <c r="AO23" s="259"/>
      <c r="AP23" s="259"/>
      <c r="AQ23" s="259"/>
      <c r="AR23" s="259"/>
      <c r="AS23" s="259"/>
      <c r="AT23" s="259"/>
      <c r="AU23" s="574"/>
      <c r="AV23" s="259"/>
      <c r="AW23" s="259"/>
      <c r="AX23" s="259"/>
      <c r="AY23" s="574"/>
      <c r="AZ23" s="259"/>
      <c r="BA23" s="259"/>
      <c r="BB23" s="259"/>
      <c r="BC23" s="260"/>
      <c r="BD23" s="587"/>
      <c r="BE23" s="591"/>
      <c r="BF23" s="594"/>
      <c r="BG23" s="580"/>
      <c r="BH23" s="582"/>
      <c r="BI23" s="601"/>
      <c r="BJ23" s="601"/>
      <c r="BK23" s="604"/>
      <c r="BL23" s="577"/>
    </row>
    <row r="24" spans="2:64" ht="13.5" thickBot="1" x14ac:dyDescent="0.25">
      <c r="B24" s="605">
        <v>1</v>
      </c>
      <c r="C24" s="606"/>
      <c r="D24" s="336"/>
      <c r="E24" s="261"/>
      <c r="F24" s="261"/>
      <c r="G24" s="261"/>
      <c r="H24" s="341"/>
      <c r="I24" s="261">
        <v>17</v>
      </c>
      <c r="J24" s="261"/>
      <c r="K24" s="261"/>
      <c r="L24" s="341"/>
      <c r="M24" s="261"/>
      <c r="N24" s="261"/>
      <c r="O24" s="261"/>
      <c r="P24" s="261"/>
      <c r="Q24" s="261"/>
      <c r="R24" s="261"/>
      <c r="S24" s="261"/>
      <c r="T24" s="261"/>
      <c r="U24" s="493" t="s">
        <v>131</v>
      </c>
      <c r="V24" s="493" t="s">
        <v>131</v>
      </c>
      <c r="W24" s="261"/>
      <c r="X24" s="261"/>
      <c r="Y24" s="341"/>
      <c r="Z24" s="261"/>
      <c r="AA24" s="261"/>
      <c r="AB24" s="261"/>
      <c r="AC24" s="261">
        <v>24</v>
      </c>
      <c r="AD24" s="261"/>
      <c r="AE24" s="261"/>
      <c r="AF24" s="261"/>
      <c r="AG24" s="342"/>
      <c r="AH24" s="487"/>
      <c r="AI24" s="342"/>
      <c r="AJ24" s="342"/>
      <c r="AK24" s="342"/>
      <c r="AL24" s="487"/>
      <c r="AM24" s="342"/>
      <c r="AN24" s="342"/>
      <c r="AO24" s="342"/>
      <c r="AP24" s="342"/>
      <c r="AQ24" s="342"/>
      <c r="AR24" s="342"/>
      <c r="AS24" s="342"/>
      <c r="AT24" s="342"/>
      <c r="AU24" s="494" t="s">
        <v>131</v>
      </c>
      <c r="AV24" s="344" t="s">
        <v>131</v>
      </c>
      <c r="AW24" s="344" t="s">
        <v>131</v>
      </c>
      <c r="AX24" s="344" t="s">
        <v>131</v>
      </c>
      <c r="AY24" s="344" t="s">
        <v>131</v>
      </c>
      <c r="AZ24" s="344" t="s">
        <v>131</v>
      </c>
      <c r="BA24" s="344" t="s">
        <v>131</v>
      </c>
      <c r="BB24" s="344" t="s">
        <v>131</v>
      </c>
      <c r="BC24" s="345" t="s">
        <v>131</v>
      </c>
      <c r="BD24" s="356">
        <v>1</v>
      </c>
      <c r="BE24" s="357">
        <v>39</v>
      </c>
      <c r="BF24" s="358"/>
      <c r="BG24" s="359"/>
      <c r="BH24" s="360"/>
      <c r="BI24" s="358">
        <v>2</v>
      </c>
      <c r="BJ24" s="358"/>
      <c r="BK24" s="361">
        <v>11</v>
      </c>
      <c r="BL24" s="362">
        <v>52</v>
      </c>
    </row>
    <row r="25" spans="2:64" ht="13.5" thickBot="1" x14ac:dyDescent="0.25">
      <c r="B25" s="607">
        <v>2</v>
      </c>
      <c r="C25" s="608"/>
      <c r="D25" s="343"/>
      <c r="E25" s="262"/>
      <c r="F25" s="262"/>
      <c r="G25" s="489"/>
      <c r="H25" s="489"/>
      <c r="I25" s="489">
        <v>16</v>
      </c>
      <c r="J25" s="489"/>
      <c r="K25" s="489"/>
      <c r="L25" s="489"/>
      <c r="M25" s="489"/>
      <c r="N25" s="489"/>
      <c r="O25" s="489"/>
      <c r="P25" s="489"/>
      <c r="Q25" s="489"/>
      <c r="R25" s="489"/>
      <c r="S25" s="489"/>
      <c r="T25" s="488" t="s">
        <v>132</v>
      </c>
      <c r="U25" s="495" t="s">
        <v>131</v>
      </c>
      <c r="V25" s="495" t="s">
        <v>131</v>
      </c>
      <c r="W25" s="489"/>
      <c r="X25" s="489"/>
      <c r="Y25" s="489"/>
      <c r="Z25" s="489"/>
      <c r="AA25" s="489"/>
      <c r="AB25" s="489"/>
      <c r="AC25" s="489">
        <v>21</v>
      </c>
      <c r="AD25" s="489"/>
      <c r="AE25" s="489"/>
      <c r="AF25" s="489"/>
      <c r="AG25" s="496"/>
      <c r="AH25" s="496"/>
      <c r="AI25" s="496"/>
      <c r="AJ25" s="496"/>
      <c r="AK25" s="496"/>
      <c r="AL25" s="496"/>
      <c r="AM25" s="496"/>
      <c r="AN25" s="496"/>
      <c r="AO25" s="496"/>
      <c r="AP25" s="496"/>
      <c r="AQ25" s="489"/>
      <c r="AR25" s="497" t="s">
        <v>132</v>
      </c>
      <c r="AS25" s="497" t="s">
        <v>132</v>
      </c>
      <c r="AT25" s="498">
        <v>0</v>
      </c>
      <c r="AU25" s="499" t="s">
        <v>131</v>
      </c>
      <c r="AV25" s="346" t="s">
        <v>131</v>
      </c>
      <c r="AW25" s="346" t="s">
        <v>131</v>
      </c>
      <c r="AX25" s="346" t="s">
        <v>131</v>
      </c>
      <c r="AY25" s="346" t="s">
        <v>131</v>
      </c>
      <c r="AZ25" s="346" t="s">
        <v>131</v>
      </c>
      <c r="BA25" s="346" t="s">
        <v>131</v>
      </c>
      <c r="BB25" s="346" t="s">
        <v>131</v>
      </c>
      <c r="BC25" s="347" t="s">
        <v>131</v>
      </c>
      <c r="BD25" s="340">
        <v>2</v>
      </c>
      <c r="BE25" s="350">
        <v>37</v>
      </c>
      <c r="BF25" s="263">
        <v>1</v>
      </c>
      <c r="BG25" s="263"/>
      <c r="BH25" s="263"/>
      <c r="BI25" s="263">
        <v>3</v>
      </c>
      <c r="BJ25" s="263"/>
      <c r="BK25" s="264">
        <v>11</v>
      </c>
      <c r="BL25" s="265">
        <f>SUM(BE25:BK25)</f>
        <v>52</v>
      </c>
    </row>
    <row r="26" spans="2:64" ht="13.5" thickBot="1" x14ac:dyDescent="0.25">
      <c r="B26" s="615">
        <v>3</v>
      </c>
      <c r="C26" s="616"/>
      <c r="D26" s="266"/>
      <c r="E26" s="267"/>
      <c r="F26" s="267"/>
      <c r="G26" s="491"/>
      <c r="H26" s="491"/>
      <c r="I26" s="491">
        <v>14</v>
      </c>
      <c r="J26" s="491"/>
      <c r="K26" s="491"/>
      <c r="L26" s="491"/>
      <c r="M26" s="491"/>
      <c r="N26" s="491"/>
      <c r="O26" s="491"/>
      <c r="P26" s="491"/>
      <c r="Q26" s="491"/>
      <c r="R26" s="490">
        <v>8</v>
      </c>
      <c r="S26" s="490">
        <v>8</v>
      </c>
      <c r="T26" s="490">
        <v>8</v>
      </c>
      <c r="U26" s="500" t="s">
        <v>131</v>
      </c>
      <c r="V26" s="500" t="s">
        <v>131</v>
      </c>
      <c r="W26" s="491"/>
      <c r="X26" s="491"/>
      <c r="Y26" s="491"/>
      <c r="Z26" s="491"/>
      <c r="AA26" s="491"/>
      <c r="AB26" s="491"/>
      <c r="AC26" s="491">
        <v>12</v>
      </c>
      <c r="AD26" s="491"/>
      <c r="AE26" s="491"/>
      <c r="AF26" s="491"/>
      <c r="AG26" s="501"/>
      <c r="AH26" s="491"/>
      <c r="AI26" s="502" t="s">
        <v>132</v>
      </c>
      <c r="AJ26" s="490">
        <v>0</v>
      </c>
      <c r="AK26" s="490">
        <v>0</v>
      </c>
      <c r="AL26" s="490">
        <v>0</v>
      </c>
      <c r="AM26" s="490">
        <v>0</v>
      </c>
      <c r="AN26" s="490">
        <v>0</v>
      </c>
      <c r="AO26" s="492">
        <v>8</v>
      </c>
      <c r="AP26" s="490">
        <v>8</v>
      </c>
      <c r="AQ26" s="490">
        <v>8</v>
      </c>
      <c r="AR26" s="490">
        <v>8</v>
      </c>
      <c r="AS26" s="490">
        <v>8</v>
      </c>
      <c r="AT26" s="503">
        <v>8</v>
      </c>
      <c r="AU26" s="504" t="s">
        <v>131</v>
      </c>
      <c r="AV26" s="348" t="s">
        <v>131</v>
      </c>
      <c r="AW26" s="348" t="s">
        <v>131</v>
      </c>
      <c r="AX26" s="348" t="s">
        <v>131</v>
      </c>
      <c r="AY26" s="348" t="s">
        <v>131</v>
      </c>
      <c r="AZ26" s="348" t="s">
        <v>131</v>
      </c>
      <c r="BA26" s="348" t="s">
        <v>131</v>
      </c>
      <c r="BB26" s="348" t="s">
        <v>131</v>
      </c>
      <c r="BC26" s="349" t="s">
        <v>131</v>
      </c>
      <c r="BD26" s="355">
        <v>3</v>
      </c>
      <c r="BE26" s="357">
        <v>26</v>
      </c>
      <c r="BF26" s="263">
        <v>9</v>
      </c>
      <c r="BG26" s="263">
        <v>5</v>
      </c>
      <c r="BH26" s="263"/>
      <c r="BI26" s="263">
        <v>1</v>
      </c>
      <c r="BJ26" s="263"/>
      <c r="BK26" s="263">
        <v>11</v>
      </c>
      <c r="BL26" s="265">
        <v>52</v>
      </c>
    </row>
    <row r="27" spans="2:64" ht="13.5" thickBot="1" x14ac:dyDescent="0.25">
      <c r="B27" s="609">
        <v>4</v>
      </c>
      <c r="C27" s="610"/>
      <c r="D27" s="266"/>
      <c r="E27" s="267"/>
      <c r="F27" s="267"/>
      <c r="G27" s="491"/>
      <c r="H27" s="491"/>
      <c r="I27" s="491">
        <v>14</v>
      </c>
      <c r="J27" s="491"/>
      <c r="K27" s="491"/>
      <c r="L27" s="491"/>
      <c r="M27" s="491"/>
      <c r="N27" s="491"/>
      <c r="O27" s="489"/>
      <c r="P27" s="489"/>
      <c r="Q27" s="489"/>
      <c r="R27" s="497" t="s">
        <v>132</v>
      </c>
      <c r="S27" s="492">
        <v>8</v>
      </c>
      <c r="T27" s="492">
        <v>8</v>
      </c>
      <c r="U27" s="500" t="s">
        <v>131</v>
      </c>
      <c r="V27" s="500" t="s">
        <v>131</v>
      </c>
      <c r="W27" s="491"/>
      <c r="X27" s="491"/>
      <c r="Y27" s="491"/>
      <c r="Z27" s="491"/>
      <c r="AA27" s="491"/>
      <c r="AB27" s="491"/>
      <c r="AC27" s="491">
        <v>13</v>
      </c>
      <c r="AD27" s="491"/>
      <c r="AE27" s="491"/>
      <c r="AF27" s="491"/>
      <c r="AG27" s="489"/>
      <c r="AH27" s="491"/>
      <c r="AI27" s="491"/>
      <c r="AJ27" s="488" t="s">
        <v>132</v>
      </c>
      <c r="AK27" s="490">
        <v>0</v>
      </c>
      <c r="AL27" s="490">
        <v>0</v>
      </c>
      <c r="AM27" s="490">
        <v>0</v>
      </c>
      <c r="AN27" s="490">
        <v>8</v>
      </c>
      <c r="AO27" s="490">
        <v>8</v>
      </c>
      <c r="AP27" s="490">
        <v>8</v>
      </c>
      <c r="AQ27" s="490">
        <v>8</v>
      </c>
      <c r="AR27" s="490">
        <v>8</v>
      </c>
      <c r="AS27" s="491" t="s">
        <v>134</v>
      </c>
      <c r="AT27" s="491" t="s">
        <v>134</v>
      </c>
      <c r="AU27" s="501"/>
      <c r="AV27" s="268"/>
      <c r="AW27" s="268"/>
      <c r="AX27" s="268"/>
      <c r="AY27" s="268"/>
      <c r="AZ27" s="268"/>
      <c r="BA27" s="268"/>
      <c r="BB27" s="268"/>
      <c r="BC27" s="269"/>
      <c r="BD27" s="270">
        <v>4</v>
      </c>
      <c r="BE27" s="350">
        <v>27</v>
      </c>
      <c r="BF27" s="263">
        <v>3</v>
      </c>
      <c r="BG27" s="263">
        <v>7</v>
      </c>
      <c r="BH27" s="263"/>
      <c r="BI27" s="263">
        <v>2</v>
      </c>
      <c r="BJ27" s="263">
        <v>2</v>
      </c>
      <c r="BK27" s="264">
        <v>2</v>
      </c>
      <c r="BL27" s="265">
        <f>SUM(BE27:BK27)</f>
        <v>43</v>
      </c>
    </row>
    <row r="28" spans="2:64" ht="13.5" thickBot="1" x14ac:dyDescent="0.25">
      <c r="C28" s="271"/>
      <c r="BB28" s="611" t="s">
        <v>135</v>
      </c>
      <c r="BC28" s="612"/>
      <c r="BD28" s="613"/>
      <c r="BE28" s="351">
        <v>129</v>
      </c>
      <c r="BF28" s="352">
        <v>13</v>
      </c>
      <c r="BG28" s="352">
        <v>12</v>
      </c>
      <c r="BH28" s="352"/>
      <c r="BI28" s="352">
        <v>8</v>
      </c>
      <c r="BJ28" s="352">
        <v>2</v>
      </c>
      <c r="BK28" s="353">
        <f t="shared" ref="BK28:BL28" si="0">SUM(BK24:BK27)</f>
        <v>35</v>
      </c>
      <c r="BL28" s="354">
        <f t="shared" si="0"/>
        <v>199</v>
      </c>
    </row>
    <row r="29" spans="2:64" x14ac:dyDescent="0.2">
      <c r="B29" s="614" t="s">
        <v>136</v>
      </c>
      <c r="C29" s="614"/>
      <c r="D29" s="614"/>
      <c r="E29" s="614"/>
      <c r="F29" s="614"/>
      <c r="G29" s="614"/>
      <c r="H29" s="246"/>
      <c r="I29" s="614" t="s">
        <v>137</v>
      </c>
      <c r="J29" s="614"/>
      <c r="K29" s="614"/>
      <c r="L29" s="614"/>
      <c r="M29" s="614"/>
      <c r="N29" s="614"/>
      <c r="O29" s="614"/>
      <c r="P29" s="246"/>
      <c r="Q29" s="614" t="s">
        <v>138</v>
      </c>
      <c r="R29" s="614"/>
      <c r="S29" s="614"/>
      <c r="T29" s="614"/>
      <c r="U29" s="614"/>
      <c r="V29" s="614"/>
      <c r="W29" s="614"/>
      <c r="X29" s="272"/>
      <c r="Y29" s="614" t="s">
        <v>145</v>
      </c>
      <c r="Z29" s="614"/>
      <c r="AA29" s="614"/>
      <c r="AB29" s="614"/>
      <c r="AC29" s="614"/>
      <c r="AD29" s="614"/>
      <c r="AE29" s="614"/>
      <c r="AF29" s="246"/>
      <c r="AG29" s="614" t="s">
        <v>31</v>
      </c>
      <c r="AH29" s="614"/>
      <c r="AI29" s="614"/>
      <c r="AJ29" s="614"/>
      <c r="AK29" s="614"/>
      <c r="AL29" s="614"/>
      <c r="AM29" s="614"/>
      <c r="AN29" s="246"/>
      <c r="AO29" s="614" t="s">
        <v>139</v>
      </c>
      <c r="AP29" s="614"/>
      <c r="AQ29" s="614"/>
      <c r="AR29" s="614"/>
      <c r="AS29" s="614"/>
      <c r="AT29" s="614"/>
      <c r="AU29" s="614"/>
      <c r="AV29" s="246"/>
      <c r="AW29" s="614" t="s">
        <v>140</v>
      </c>
      <c r="AX29" s="614"/>
      <c r="AY29" s="614"/>
      <c r="AZ29" s="614"/>
      <c r="BA29" s="614"/>
      <c r="BB29" s="614"/>
      <c r="BC29" s="614"/>
      <c r="BE29" s="614" t="s">
        <v>146</v>
      </c>
      <c r="BF29" s="614"/>
      <c r="BG29" s="614"/>
      <c r="BH29" s="614"/>
      <c r="BI29" s="614"/>
      <c r="BJ29" s="614"/>
      <c r="BK29" s="614"/>
      <c r="BL29" s="246"/>
    </row>
    <row r="30" spans="2:64" x14ac:dyDescent="0.2">
      <c r="B30" s="614"/>
      <c r="C30" s="614"/>
      <c r="D30" s="614"/>
      <c r="E30" s="614"/>
      <c r="F30" s="614"/>
      <c r="G30" s="614"/>
      <c r="H30" s="246"/>
      <c r="I30" s="614"/>
      <c r="J30" s="614"/>
      <c r="K30" s="614"/>
      <c r="L30" s="614"/>
      <c r="M30" s="614"/>
      <c r="N30" s="614"/>
      <c r="O30" s="614"/>
      <c r="P30" s="246"/>
      <c r="Q30" s="614"/>
      <c r="R30" s="614"/>
      <c r="S30" s="614"/>
      <c r="T30" s="614"/>
      <c r="U30" s="614"/>
      <c r="V30" s="614"/>
      <c r="W30" s="614"/>
      <c r="X30" s="272"/>
      <c r="Y30" s="614"/>
      <c r="Z30" s="614"/>
      <c r="AA30" s="614"/>
      <c r="AB30" s="614"/>
      <c r="AC30" s="614"/>
      <c r="AD30" s="614"/>
      <c r="AE30" s="614"/>
      <c r="AF30" s="246"/>
      <c r="AG30" s="614"/>
      <c r="AH30" s="614"/>
      <c r="AI30" s="614"/>
      <c r="AJ30" s="614"/>
      <c r="AK30" s="614"/>
      <c r="AL30" s="614"/>
      <c r="AM30" s="614"/>
      <c r="AN30" s="246"/>
      <c r="AO30" s="614"/>
      <c r="AP30" s="614"/>
      <c r="AQ30" s="614"/>
      <c r="AR30" s="614"/>
      <c r="AS30" s="614"/>
      <c r="AT30" s="614"/>
      <c r="AU30" s="614"/>
      <c r="AV30" s="246"/>
      <c r="AW30" s="614"/>
      <c r="AX30" s="614"/>
      <c r="AY30" s="614"/>
      <c r="AZ30" s="614"/>
      <c r="BA30" s="614"/>
      <c r="BB30" s="614"/>
      <c r="BC30" s="614"/>
      <c r="BE30" s="614"/>
      <c r="BF30" s="614"/>
      <c r="BG30" s="614"/>
      <c r="BH30" s="614"/>
      <c r="BI30" s="614"/>
      <c r="BJ30" s="614"/>
      <c r="BK30" s="614"/>
      <c r="BL30" s="246"/>
    </row>
    <row r="31" spans="2:64" ht="9" customHeight="1" x14ac:dyDescent="0.2">
      <c r="B31" s="614"/>
      <c r="C31" s="614"/>
      <c r="D31" s="614"/>
      <c r="E31" s="614"/>
      <c r="F31" s="614"/>
      <c r="G31" s="614"/>
      <c r="H31" s="246"/>
      <c r="I31" s="614"/>
      <c r="J31" s="614"/>
      <c r="K31" s="614"/>
      <c r="L31" s="614"/>
      <c r="M31" s="614"/>
      <c r="N31" s="614"/>
      <c r="O31" s="614"/>
      <c r="P31" s="246"/>
      <c r="Q31" s="614"/>
      <c r="R31" s="614"/>
      <c r="S31" s="614"/>
      <c r="T31" s="614"/>
      <c r="U31" s="614"/>
      <c r="V31" s="614"/>
      <c r="W31" s="614"/>
      <c r="X31" s="272"/>
      <c r="Y31" s="614"/>
      <c r="Z31" s="614"/>
      <c r="AA31" s="614"/>
      <c r="AB31" s="614"/>
      <c r="AC31" s="614"/>
      <c r="AD31" s="614"/>
      <c r="AE31" s="614"/>
      <c r="AF31" s="246"/>
      <c r="AG31" s="614"/>
      <c r="AH31" s="614"/>
      <c r="AI31" s="614"/>
      <c r="AJ31" s="614"/>
      <c r="AK31" s="614"/>
      <c r="AL31" s="614"/>
      <c r="AM31" s="614"/>
      <c r="AN31" s="246"/>
      <c r="AO31" s="614"/>
      <c r="AP31" s="614"/>
      <c r="AQ31" s="614"/>
      <c r="AR31" s="614"/>
      <c r="AS31" s="614"/>
      <c r="AT31" s="614"/>
      <c r="AU31" s="614"/>
      <c r="AV31" s="246"/>
      <c r="AW31" s="614"/>
      <c r="AX31" s="614"/>
      <c r="AY31" s="614"/>
      <c r="AZ31" s="614"/>
      <c r="BA31" s="614"/>
      <c r="BB31" s="614"/>
      <c r="BC31" s="614"/>
      <c r="BE31" s="614"/>
      <c r="BF31" s="614"/>
      <c r="BG31" s="614"/>
      <c r="BH31" s="614"/>
      <c r="BI31" s="614"/>
      <c r="BJ31" s="614"/>
      <c r="BK31" s="614"/>
      <c r="BL31" s="246"/>
    </row>
    <row r="32" spans="2:64" ht="6.75" customHeight="1" x14ac:dyDescent="0.2">
      <c r="B32" s="614"/>
      <c r="C32" s="614"/>
      <c r="D32" s="614"/>
      <c r="E32" s="614"/>
      <c r="F32" s="614"/>
      <c r="G32" s="614"/>
      <c r="H32" s="246"/>
      <c r="I32" s="614"/>
      <c r="J32" s="614"/>
      <c r="K32" s="614"/>
      <c r="L32" s="614"/>
      <c r="M32" s="614"/>
      <c r="N32" s="614"/>
      <c r="O32" s="614"/>
      <c r="P32" s="246"/>
      <c r="Q32" s="614"/>
      <c r="R32" s="614"/>
      <c r="S32" s="614"/>
      <c r="T32" s="614"/>
      <c r="U32" s="614"/>
      <c r="V32" s="614"/>
      <c r="W32" s="614"/>
      <c r="X32" s="272"/>
      <c r="Y32" s="614"/>
      <c r="Z32" s="614"/>
      <c r="AA32" s="614"/>
      <c r="AB32" s="614"/>
      <c r="AC32" s="614"/>
      <c r="AD32" s="614"/>
      <c r="AE32" s="614"/>
      <c r="AF32" s="246"/>
      <c r="AG32" s="614"/>
      <c r="AH32" s="614"/>
      <c r="AI32" s="614"/>
      <c r="AJ32" s="614"/>
      <c r="AK32" s="614"/>
      <c r="AL32" s="614"/>
      <c r="AM32" s="614"/>
      <c r="AN32" s="246"/>
      <c r="AO32" s="614"/>
      <c r="AP32" s="614"/>
      <c r="AQ32" s="614"/>
      <c r="AR32" s="614"/>
      <c r="AS32" s="614"/>
      <c r="AT32" s="614"/>
      <c r="AU32" s="614"/>
      <c r="AV32" s="246"/>
      <c r="AW32" s="614"/>
      <c r="AX32" s="614"/>
      <c r="AY32" s="614"/>
      <c r="AZ32" s="614"/>
      <c r="BA32" s="614"/>
      <c r="BB32" s="614"/>
      <c r="BC32" s="614"/>
      <c r="BE32" s="614"/>
      <c r="BF32" s="614"/>
      <c r="BG32" s="614"/>
      <c r="BH32" s="614"/>
      <c r="BI32" s="614"/>
      <c r="BJ32" s="614"/>
      <c r="BK32" s="614"/>
      <c r="BL32" s="246"/>
    </row>
    <row r="33" spans="11:64" x14ac:dyDescent="0.2">
      <c r="K33" s="621"/>
      <c r="L33" s="622"/>
      <c r="M33" s="623"/>
      <c r="P33" s="246"/>
      <c r="Q33" s="246"/>
      <c r="S33" s="627">
        <v>0</v>
      </c>
      <c r="T33" s="628"/>
      <c r="U33" s="618"/>
      <c r="V33" s="274"/>
      <c r="W33" s="274"/>
      <c r="X33" s="274"/>
      <c r="Y33" s="274"/>
      <c r="Z33" s="274"/>
      <c r="AA33" s="627">
        <v>8</v>
      </c>
      <c r="AB33" s="628"/>
      <c r="AC33" s="618"/>
      <c r="AD33" s="274"/>
      <c r="AE33" s="274"/>
      <c r="AF33" s="274"/>
      <c r="AG33" s="274"/>
      <c r="AH33" s="274"/>
      <c r="AI33" s="627" t="s">
        <v>133</v>
      </c>
      <c r="AJ33" s="628"/>
      <c r="AK33" s="618"/>
      <c r="AL33" s="274"/>
      <c r="AM33" s="274"/>
      <c r="AN33" s="274"/>
      <c r="AO33" s="274"/>
      <c r="AP33" s="274"/>
      <c r="AQ33" s="627" t="s">
        <v>141</v>
      </c>
      <c r="AR33" s="628"/>
      <c r="AS33" s="618"/>
      <c r="AT33" s="274"/>
      <c r="AU33" s="274"/>
      <c r="AV33" s="274"/>
      <c r="AW33" s="274"/>
      <c r="AX33" s="274"/>
      <c r="AY33" s="627" t="s">
        <v>134</v>
      </c>
      <c r="AZ33" s="628"/>
      <c r="BA33" s="618"/>
      <c r="BB33" s="274"/>
      <c r="BC33" s="274"/>
      <c r="BD33" s="274"/>
      <c r="BE33" s="274"/>
      <c r="BF33" s="617" t="s">
        <v>131</v>
      </c>
      <c r="BG33" s="618"/>
      <c r="BH33" s="274"/>
      <c r="BI33" s="617"/>
      <c r="BJ33" s="618"/>
      <c r="BK33" s="273"/>
      <c r="BL33" s="246"/>
    </row>
    <row r="34" spans="11:64" x14ac:dyDescent="0.2">
      <c r="K34" s="624"/>
      <c r="L34" s="625"/>
      <c r="M34" s="626"/>
      <c r="P34" s="246"/>
      <c r="Q34" s="246"/>
      <c r="S34" s="619"/>
      <c r="T34" s="629"/>
      <c r="U34" s="620"/>
      <c r="V34" s="274"/>
      <c r="W34" s="274"/>
      <c r="X34" s="274"/>
      <c r="Y34" s="274"/>
      <c r="Z34" s="274"/>
      <c r="AA34" s="619"/>
      <c r="AB34" s="629"/>
      <c r="AC34" s="620"/>
      <c r="AD34" s="274"/>
      <c r="AE34" s="274"/>
      <c r="AF34" s="274"/>
      <c r="AG34" s="274"/>
      <c r="AH34" s="274"/>
      <c r="AI34" s="619"/>
      <c r="AJ34" s="629"/>
      <c r="AK34" s="620"/>
      <c r="AL34" s="274"/>
      <c r="AM34" s="274"/>
      <c r="AN34" s="274"/>
      <c r="AO34" s="274"/>
      <c r="AP34" s="274"/>
      <c r="AQ34" s="619"/>
      <c r="AR34" s="629"/>
      <c r="AS34" s="620"/>
      <c r="AT34" s="274"/>
      <c r="AU34" s="274"/>
      <c r="AV34" s="274"/>
      <c r="AW34" s="274"/>
      <c r="AX34" s="274"/>
      <c r="AY34" s="619"/>
      <c r="AZ34" s="629"/>
      <c r="BA34" s="620"/>
      <c r="BB34" s="274"/>
      <c r="BC34" s="274"/>
      <c r="BD34" s="274"/>
      <c r="BE34" s="274"/>
      <c r="BF34" s="619"/>
      <c r="BG34" s="620"/>
      <c r="BH34" s="274"/>
      <c r="BI34" s="619"/>
      <c r="BJ34" s="620"/>
      <c r="BK34" s="273"/>
      <c r="BL34" s="246"/>
    </row>
  </sheetData>
  <mergeCells count="70">
    <mergeCell ref="BI33:BJ34"/>
    <mergeCell ref="AW29:BC32"/>
    <mergeCell ref="BE29:BG32"/>
    <mergeCell ref="BH29:BK32"/>
    <mergeCell ref="K33:M34"/>
    <mergeCell ref="S33:U34"/>
    <mergeCell ref="AA33:AC34"/>
    <mergeCell ref="AI33:AK34"/>
    <mergeCell ref="AQ33:AS34"/>
    <mergeCell ref="AY33:BA34"/>
    <mergeCell ref="BF33:BG34"/>
    <mergeCell ref="B24:C24"/>
    <mergeCell ref="B25:C25"/>
    <mergeCell ref="B27:C27"/>
    <mergeCell ref="BB28:BD28"/>
    <mergeCell ref="B29:G32"/>
    <mergeCell ref="I29:O32"/>
    <mergeCell ref="Q29:W32"/>
    <mergeCell ref="Y29:AE32"/>
    <mergeCell ref="AG29:AM32"/>
    <mergeCell ref="AO29:AU32"/>
    <mergeCell ref="B26:C26"/>
    <mergeCell ref="AL14:AL23"/>
    <mergeCell ref="AM14:AP15"/>
    <mergeCell ref="BL14:BL23"/>
    <mergeCell ref="BG16:BG23"/>
    <mergeCell ref="BH16:BH23"/>
    <mergeCell ref="AU14:AU23"/>
    <mergeCell ref="AV14:AX15"/>
    <mergeCell ref="AY14:AY23"/>
    <mergeCell ref="AZ14:BC15"/>
    <mergeCell ref="BD14:BD23"/>
    <mergeCell ref="BE14:BE23"/>
    <mergeCell ref="BF14:BF23"/>
    <mergeCell ref="BG14:BH15"/>
    <mergeCell ref="BI14:BI23"/>
    <mergeCell ref="BJ14:BJ23"/>
    <mergeCell ref="BK14:BK23"/>
    <mergeCell ref="Z14:AB15"/>
    <mergeCell ref="AC14:AC23"/>
    <mergeCell ref="AD14:AG15"/>
    <mergeCell ref="AH14:AH23"/>
    <mergeCell ref="AI14:AK15"/>
    <mergeCell ref="M14:P15"/>
    <mergeCell ref="D9:R9"/>
    <mergeCell ref="W9:BA9"/>
    <mergeCell ref="W10:BA10"/>
    <mergeCell ref="W11:BA11"/>
    <mergeCell ref="B13:BC13"/>
    <mergeCell ref="B14:C23"/>
    <mergeCell ref="D14:G15"/>
    <mergeCell ref="H14:H23"/>
    <mergeCell ref="I14:K15"/>
    <mergeCell ref="L14:L23"/>
    <mergeCell ref="AQ14:AT15"/>
    <mergeCell ref="Q14:T15"/>
    <mergeCell ref="U14:U23"/>
    <mergeCell ref="V14:X15"/>
    <mergeCell ref="Y14:Y23"/>
    <mergeCell ref="BD13:BL13"/>
    <mergeCell ref="W4:BA4"/>
    <mergeCell ref="S5:BE5"/>
    <mergeCell ref="D6:M6"/>
    <mergeCell ref="W6:BA6"/>
    <mergeCell ref="BD6:BL6"/>
    <mergeCell ref="D7:Q7"/>
    <mergeCell ref="W7:BA7"/>
    <mergeCell ref="BD7:BL11"/>
    <mergeCell ref="D8:R8"/>
    <mergeCell ref="W8:BA8"/>
  </mergeCells>
  <phoneticPr fontId="29" type="noConversion"/>
  <pageMargins left="0.23622047244094488" right="0.23622047244094488" top="0.15748031496062992" bottom="0.3543307086614173" header="0.31496062992125984" footer="0.31496062992125984"/>
  <pageSetup paperSize="9" scale="99" fitToHeight="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BL87"/>
  <sheetViews>
    <sheetView showGridLines="0" tabSelected="1" zoomScale="90" zoomScaleNormal="90" zoomScaleSheetLayoutView="85" zoomScalePageLayoutView="70" workbookViewId="0">
      <pane ySplit="2" topLeftCell="A53" activePane="bottomLeft" state="frozen"/>
      <selection pane="bottomLeft" activeCell="B1" sqref="B1:AS1048576"/>
    </sheetView>
  </sheetViews>
  <sheetFormatPr defaultRowHeight="12" x14ac:dyDescent="0.2"/>
  <cols>
    <col min="1" max="1" width="13.5703125" style="1" customWidth="1"/>
    <col min="2" max="2" width="47.7109375" style="1" customWidth="1"/>
    <col min="3" max="3" width="5.7109375" style="2" customWidth="1"/>
    <col min="4" max="4" width="8.140625" style="2" customWidth="1"/>
    <col min="5" max="5" width="5.7109375" style="2" customWidth="1"/>
    <col min="6" max="6" width="8.42578125" style="2" customWidth="1"/>
    <col min="7" max="7" width="5.5703125" style="2" customWidth="1"/>
    <col min="8" max="8" width="6" style="2" customWidth="1"/>
    <col min="9" max="10" width="4.7109375" style="2" customWidth="1"/>
    <col min="11" max="11" width="5.42578125" style="2" customWidth="1"/>
    <col min="12" max="12" width="6.5703125" style="2" customWidth="1"/>
    <col min="13" max="14" width="6.85546875" style="2" customWidth="1"/>
    <col min="15" max="15" width="7.42578125" style="2" customWidth="1"/>
    <col min="16" max="16" width="8.140625" style="2" customWidth="1"/>
    <col min="17" max="17" width="5.28515625" style="2" customWidth="1"/>
    <col min="18" max="18" width="4.85546875" style="2" customWidth="1"/>
    <col min="19" max="19" width="4.28515625" style="2" customWidth="1"/>
    <col min="20" max="20" width="4.5703125" style="2" customWidth="1"/>
    <col min="21" max="21" width="4.140625" style="2" customWidth="1"/>
    <col min="22" max="22" width="4.7109375" style="2" customWidth="1"/>
    <col min="23" max="23" width="6.140625" style="2" customWidth="1"/>
    <col min="24" max="24" width="5.140625" style="2" customWidth="1"/>
    <col min="25" max="26" width="3.85546875" style="2" customWidth="1"/>
    <col min="27" max="27" width="5" style="2" customWidth="1"/>
    <col min="28" max="28" width="4.85546875" style="2" customWidth="1"/>
    <col min="29" max="29" width="5.5703125" style="2" customWidth="1"/>
    <col min="30" max="30" width="4.5703125" style="2" customWidth="1"/>
    <col min="31" max="31" width="4.85546875" style="2" customWidth="1"/>
    <col min="32" max="32" width="4" style="2" customWidth="1"/>
    <col min="33" max="33" width="4.28515625" style="2" customWidth="1"/>
    <col min="34" max="34" width="4.7109375" style="2" customWidth="1"/>
    <col min="35" max="35" width="5" style="2" customWidth="1"/>
    <col min="36" max="36" width="5.42578125" style="2" customWidth="1"/>
    <col min="37" max="38" width="3.85546875" style="2" customWidth="1"/>
    <col min="39" max="39" width="5.140625" style="2" customWidth="1"/>
    <col min="40" max="41" width="5" style="2" customWidth="1"/>
    <col min="42" max="44" width="3.85546875" style="2" customWidth="1"/>
    <col min="45" max="45" width="5.140625" style="2" customWidth="1"/>
    <col min="46" max="47" width="5.5703125" style="2" customWidth="1"/>
    <col min="48" max="48" width="4.7109375" style="2" customWidth="1"/>
    <col min="49" max="49" width="5" style="2" customWidth="1"/>
    <col min="50" max="50" width="4.5703125" style="2" customWidth="1"/>
    <col min="51" max="51" width="5.28515625" style="2" customWidth="1"/>
    <col min="52" max="52" width="5.7109375" style="2" customWidth="1"/>
    <col min="53" max="53" width="5.42578125" style="1" customWidth="1"/>
    <col min="54" max="54" width="5.28515625" style="1" customWidth="1"/>
    <col min="55" max="55" width="4.5703125" style="1" customWidth="1"/>
    <col min="56" max="56" width="4.7109375" style="1" customWidth="1"/>
    <col min="57" max="57" width="4" style="1" customWidth="1"/>
    <col min="58" max="58" width="5.140625" style="1" customWidth="1"/>
    <col min="59" max="59" width="6.140625" style="1" customWidth="1"/>
    <col min="60" max="60" width="5.7109375" style="1" customWidth="1"/>
    <col min="61" max="61" width="5.42578125" style="1" customWidth="1"/>
    <col min="62" max="62" width="5.5703125" style="1" customWidth="1"/>
    <col min="63" max="63" width="6" style="1" customWidth="1"/>
    <col min="64" max="64" width="5.42578125" style="1" customWidth="1"/>
    <col min="65" max="16384" width="9.140625" style="1"/>
  </cols>
  <sheetData>
    <row r="2" spans="1:64" ht="21" customHeight="1" thickBot="1" x14ac:dyDescent="0.25">
      <c r="B2" s="27"/>
      <c r="C2" s="36"/>
      <c r="D2" s="667" t="s">
        <v>89</v>
      </c>
      <c r="E2" s="667"/>
      <c r="F2" s="667"/>
      <c r="G2" s="667"/>
      <c r="H2" s="667"/>
      <c r="I2" s="667"/>
      <c r="J2" s="667"/>
      <c r="K2" s="667"/>
      <c r="L2" s="667"/>
      <c r="M2" s="667"/>
      <c r="N2" s="667"/>
      <c r="O2" s="667"/>
      <c r="P2" s="667"/>
      <c r="Q2" s="667"/>
      <c r="R2" s="667"/>
      <c r="S2" s="667"/>
      <c r="T2" s="667"/>
      <c r="U2" s="667"/>
      <c r="V2" s="667"/>
      <c r="W2" s="667"/>
      <c r="X2" s="667"/>
      <c r="Y2" s="667"/>
      <c r="Z2" s="667"/>
      <c r="AA2" s="667"/>
      <c r="AB2" s="667"/>
      <c r="AC2" s="667"/>
      <c r="AD2" s="667"/>
      <c r="AE2" s="667"/>
      <c r="AF2" s="667"/>
      <c r="AG2" s="667"/>
      <c r="AH2" s="667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</row>
    <row r="3" spans="1:64" ht="13.5" customHeight="1" thickBot="1" x14ac:dyDescent="0.25">
      <c r="A3" s="632" t="s">
        <v>0</v>
      </c>
      <c r="B3" s="635" t="s">
        <v>44</v>
      </c>
      <c r="C3" s="638" t="s">
        <v>6</v>
      </c>
      <c r="D3" s="639"/>
      <c r="E3" s="644" t="s">
        <v>83</v>
      </c>
      <c r="F3" s="646" t="s">
        <v>73</v>
      </c>
      <c r="G3" s="647"/>
      <c r="H3" s="647"/>
      <c r="I3" s="647"/>
      <c r="J3" s="647"/>
      <c r="K3" s="647"/>
      <c r="L3" s="647"/>
      <c r="M3" s="647"/>
      <c r="N3" s="647"/>
      <c r="O3" s="647"/>
      <c r="P3" s="648"/>
      <c r="Q3" s="676" t="s">
        <v>148</v>
      </c>
      <c r="R3" s="677"/>
      <c r="S3" s="677"/>
      <c r="T3" s="677"/>
      <c r="U3" s="677"/>
      <c r="V3" s="677"/>
      <c r="W3" s="677"/>
      <c r="X3" s="677"/>
      <c r="Y3" s="677"/>
      <c r="Z3" s="677"/>
      <c r="AA3" s="677"/>
      <c r="AB3" s="677"/>
      <c r="AC3" s="677"/>
      <c r="AD3" s="677"/>
      <c r="AE3" s="677"/>
      <c r="AF3" s="677"/>
      <c r="AG3" s="677"/>
      <c r="AH3" s="677"/>
      <c r="AI3" s="677"/>
      <c r="AJ3" s="677"/>
      <c r="AK3" s="677"/>
      <c r="AL3" s="677"/>
      <c r="AM3" s="677"/>
      <c r="AN3" s="677"/>
      <c r="AO3" s="677"/>
      <c r="AP3" s="677"/>
      <c r="AQ3" s="677"/>
      <c r="AR3" s="677"/>
      <c r="AS3" s="677"/>
      <c r="AT3" s="677"/>
      <c r="AU3" s="677"/>
      <c r="AV3" s="677"/>
      <c r="AW3" s="677"/>
      <c r="AX3" s="677"/>
      <c r="AY3" s="677"/>
      <c r="AZ3" s="677"/>
      <c r="BA3" s="677"/>
      <c r="BB3" s="280"/>
      <c r="BC3" s="280"/>
      <c r="BD3" s="280"/>
      <c r="BE3" s="280"/>
      <c r="BF3" s="278"/>
      <c r="BG3" s="278"/>
      <c r="BH3" s="278"/>
      <c r="BI3" s="278"/>
      <c r="BJ3" s="278"/>
      <c r="BK3" s="278"/>
      <c r="BL3" s="278"/>
    </row>
    <row r="4" spans="1:64" ht="13.5" customHeight="1" thickBot="1" x14ac:dyDescent="0.25">
      <c r="A4" s="633"/>
      <c r="B4" s="636"/>
      <c r="C4" s="640"/>
      <c r="D4" s="641"/>
      <c r="E4" s="645"/>
      <c r="F4" s="649" t="s">
        <v>55</v>
      </c>
      <c r="G4" s="651" t="s">
        <v>57</v>
      </c>
      <c r="H4" s="653" t="s">
        <v>54</v>
      </c>
      <c r="I4" s="654"/>
      <c r="J4" s="654"/>
      <c r="K4" s="654"/>
      <c r="L4" s="654"/>
      <c r="M4" s="654"/>
      <c r="N4" s="654"/>
      <c r="O4" s="654"/>
      <c r="P4" s="655"/>
      <c r="Q4" s="678"/>
      <c r="R4" s="679"/>
      <c r="S4" s="679"/>
      <c r="T4" s="679"/>
      <c r="U4" s="679"/>
      <c r="V4" s="679"/>
      <c r="W4" s="679"/>
      <c r="X4" s="679"/>
      <c r="Y4" s="679"/>
      <c r="Z4" s="679"/>
      <c r="AA4" s="679"/>
      <c r="AB4" s="679"/>
      <c r="AC4" s="679"/>
      <c r="AD4" s="679"/>
      <c r="AE4" s="679"/>
      <c r="AF4" s="679"/>
      <c r="AG4" s="679"/>
      <c r="AH4" s="679"/>
      <c r="AI4" s="679"/>
      <c r="AJ4" s="679"/>
      <c r="AK4" s="679"/>
      <c r="AL4" s="679"/>
      <c r="AM4" s="679"/>
      <c r="AN4" s="679"/>
      <c r="AO4" s="679"/>
      <c r="AP4" s="679"/>
      <c r="AQ4" s="679"/>
      <c r="AR4" s="679"/>
      <c r="AS4" s="679"/>
      <c r="AT4" s="679"/>
      <c r="AU4" s="679"/>
      <c r="AV4" s="679"/>
      <c r="AW4" s="679"/>
      <c r="AX4" s="679"/>
      <c r="AY4" s="679"/>
      <c r="AZ4" s="679"/>
      <c r="BA4" s="679"/>
      <c r="BB4" s="279"/>
      <c r="BC4" s="279"/>
      <c r="BD4" s="279"/>
      <c r="BE4" s="279"/>
      <c r="BF4" s="279"/>
      <c r="BG4" s="279"/>
      <c r="BH4" s="279"/>
      <c r="BI4" s="279"/>
      <c r="BJ4" s="279"/>
      <c r="BK4" s="279"/>
      <c r="BL4" s="279"/>
    </row>
    <row r="5" spans="1:64" ht="36" customHeight="1" thickBot="1" x14ac:dyDescent="0.25">
      <c r="A5" s="633"/>
      <c r="B5" s="636"/>
      <c r="C5" s="642"/>
      <c r="D5" s="643"/>
      <c r="E5" s="645"/>
      <c r="F5" s="650"/>
      <c r="G5" s="652"/>
      <c r="H5" s="656" t="s">
        <v>56</v>
      </c>
      <c r="I5" s="658" t="s">
        <v>64</v>
      </c>
      <c r="J5" s="659"/>
      <c r="K5" s="659"/>
      <c r="L5" s="659"/>
      <c r="M5" s="659"/>
      <c r="N5" s="659"/>
      <c r="O5" s="659"/>
      <c r="P5" s="660"/>
      <c r="Q5" s="668" t="s">
        <v>1</v>
      </c>
      <c r="R5" s="669"/>
      <c r="S5" s="669"/>
      <c r="T5" s="669"/>
      <c r="U5" s="669"/>
      <c r="V5" s="669"/>
      <c r="W5" s="669"/>
      <c r="X5" s="669"/>
      <c r="Y5" s="669"/>
      <c r="Z5" s="669"/>
      <c r="AA5" s="669"/>
      <c r="AB5" s="670"/>
      <c r="AC5" s="668" t="s">
        <v>79</v>
      </c>
      <c r="AD5" s="669"/>
      <c r="AE5" s="669"/>
      <c r="AF5" s="669"/>
      <c r="AG5" s="669"/>
      <c r="AH5" s="669"/>
      <c r="AI5" s="669"/>
      <c r="AJ5" s="669"/>
      <c r="AK5" s="669"/>
      <c r="AL5" s="669"/>
      <c r="AM5" s="669"/>
      <c r="AN5" s="670"/>
      <c r="AO5" s="668" t="s">
        <v>78</v>
      </c>
      <c r="AP5" s="669"/>
      <c r="AQ5" s="669"/>
      <c r="AR5" s="669"/>
      <c r="AS5" s="669"/>
      <c r="AT5" s="669"/>
      <c r="AU5" s="669"/>
      <c r="AV5" s="669"/>
      <c r="AW5" s="669"/>
      <c r="AX5" s="669"/>
      <c r="AY5" s="669"/>
      <c r="AZ5" s="670"/>
      <c r="BA5" s="668" t="s">
        <v>147</v>
      </c>
      <c r="BB5" s="669"/>
      <c r="BC5" s="669"/>
      <c r="BD5" s="669"/>
      <c r="BE5" s="669"/>
      <c r="BF5" s="669"/>
      <c r="BG5" s="669"/>
      <c r="BH5" s="669"/>
      <c r="BI5" s="669"/>
      <c r="BJ5" s="669"/>
      <c r="BK5" s="669"/>
      <c r="BL5" s="670"/>
    </row>
    <row r="6" spans="1:64" ht="13.5" thickBot="1" x14ac:dyDescent="0.25">
      <c r="A6" s="633"/>
      <c r="B6" s="636"/>
      <c r="C6" s="651" t="s">
        <v>5</v>
      </c>
      <c r="D6" s="651" t="s">
        <v>45</v>
      </c>
      <c r="E6" s="645"/>
      <c r="F6" s="650"/>
      <c r="G6" s="652"/>
      <c r="H6" s="657"/>
      <c r="I6" s="663" t="s">
        <v>84</v>
      </c>
      <c r="J6" s="665" t="s">
        <v>68</v>
      </c>
      <c r="K6" s="665" t="s">
        <v>66</v>
      </c>
      <c r="L6" s="630" t="s">
        <v>65</v>
      </c>
      <c r="M6" s="638" t="s">
        <v>67</v>
      </c>
      <c r="N6" s="661"/>
      <c r="O6" s="661"/>
      <c r="P6" s="639"/>
      <c r="Q6" s="668" t="s">
        <v>80</v>
      </c>
      <c r="R6" s="669"/>
      <c r="S6" s="669"/>
      <c r="T6" s="669"/>
      <c r="U6" s="669"/>
      <c r="V6" s="670"/>
      <c r="W6" s="668" t="s">
        <v>175</v>
      </c>
      <c r="X6" s="669"/>
      <c r="Y6" s="669"/>
      <c r="Z6" s="669"/>
      <c r="AA6" s="669"/>
      <c r="AB6" s="670"/>
      <c r="AC6" s="668" t="s">
        <v>82</v>
      </c>
      <c r="AD6" s="669"/>
      <c r="AE6" s="669"/>
      <c r="AF6" s="669"/>
      <c r="AG6" s="669"/>
      <c r="AH6" s="670"/>
      <c r="AI6" s="669" t="s">
        <v>149</v>
      </c>
      <c r="AJ6" s="669"/>
      <c r="AK6" s="669"/>
      <c r="AL6" s="669"/>
      <c r="AM6" s="669"/>
      <c r="AN6" s="670"/>
      <c r="AO6" s="668" t="s">
        <v>150</v>
      </c>
      <c r="AP6" s="669"/>
      <c r="AQ6" s="669"/>
      <c r="AR6" s="669"/>
      <c r="AS6" s="669"/>
      <c r="AT6" s="670"/>
      <c r="AU6" s="669" t="s">
        <v>197</v>
      </c>
      <c r="AV6" s="669"/>
      <c r="AW6" s="669"/>
      <c r="AX6" s="669"/>
      <c r="AY6" s="669"/>
      <c r="AZ6" s="670"/>
      <c r="BA6" s="668" t="s">
        <v>176</v>
      </c>
      <c r="BB6" s="669"/>
      <c r="BC6" s="669"/>
      <c r="BD6" s="669"/>
      <c r="BE6" s="669"/>
      <c r="BF6" s="670"/>
      <c r="BG6" s="668" t="s">
        <v>198</v>
      </c>
      <c r="BH6" s="669"/>
      <c r="BI6" s="669"/>
      <c r="BJ6" s="669"/>
      <c r="BK6" s="669"/>
      <c r="BL6" s="670"/>
    </row>
    <row r="7" spans="1:64" ht="19.5" customHeight="1" thickBot="1" x14ac:dyDescent="0.25">
      <c r="A7" s="633"/>
      <c r="B7" s="636"/>
      <c r="C7" s="652"/>
      <c r="D7" s="652"/>
      <c r="E7" s="645"/>
      <c r="F7" s="650"/>
      <c r="G7" s="652"/>
      <c r="H7" s="657"/>
      <c r="I7" s="664"/>
      <c r="J7" s="666"/>
      <c r="K7" s="666"/>
      <c r="L7" s="631"/>
      <c r="M7" s="642"/>
      <c r="N7" s="662"/>
      <c r="O7" s="662"/>
      <c r="P7" s="662"/>
      <c r="Q7" s="680" t="s">
        <v>74</v>
      </c>
      <c r="R7" s="671" t="s">
        <v>67</v>
      </c>
      <c r="S7" s="672"/>
      <c r="T7" s="672"/>
      <c r="U7" s="672"/>
      <c r="V7" s="673"/>
      <c r="W7" s="674" t="s">
        <v>74</v>
      </c>
      <c r="X7" s="671" t="s">
        <v>67</v>
      </c>
      <c r="Y7" s="672"/>
      <c r="Z7" s="672"/>
      <c r="AA7" s="672"/>
      <c r="AB7" s="673"/>
      <c r="AC7" s="674" t="s">
        <v>74</v>
      </c>
      <c r="AD7" s="671" t="s">
        <v>64</v>
      </c>
      <c r="AE7" s="672"/>
      <c r="AF7" s="672"/>
      <c r="AG7" s="672"/>
      <c r="AH7" s="673"/>
      <c r="AI7" s="674" t="s">
        <v>74</v>
      </c>
      <c r="AJ7" s="671" t="s">
        <v>64</v>
      </c>
      <c r="AK7" s="672"/>
      <c r="AL7" s="672"/>
      <c r="AM7" s="672"/>
      <c r="AN7" s="673"/>
      <c r="AO7" s="674" t="s">
        <v>74</v>
      </c>
      <c r="AP7" s="671" t="s">
        <v>67</v>
      </c>
      <c r="AQ7" s="672"/>
      <c r="AR7" s="672"/>
      <c r="AS7" s="672"/>
      <c r="AT7" s="673"/>
      <c r="AU7" s="674" t="s">
        <v>74</v>
      </c>
      <c r="AV7" s="671" t="s">
        <v>67</v>
      </c>
      <c r="AW7" s="672"/>
      <c r="AX7" s="672"/>
      <c r="AY7" s="672"/>
      <c r="AZ7" s="673"/>
      <c r="BA7" s="680" t="s">
        <v>74</v>
      </c>
      <c r="BB7" s="671" t="s">
        <v>67</v>
      </c>
      <c r="BC7" s="672"/>
      <c r="BD7" s="672"/>
      <c r="BE7" s="672"/>
      <c r="BF7" s="673"/>
      <c r="BG7" s="674" t="s">
        <v>74</v>
      </c>
      <c r="BH7" s="671" t="s">
        <v>67</v>
      </c>
      <c r="BI7" s="672"/>
      <c r="BJ7" s="672"/>
      <c r="BK7" s="672"/>
      <c r="BL7" s="673"/>
    </row>
    <row r="8" spans="1:64" ht="167.25" thickBot="1" x14ac:dyDescent="0.25">
      <c r="A8" s="634"/>
      <c r="B8" s="637"/>
      <c r="C8" s="652"/>
      <c r="D8" s="652"/>
      <c r="E8" s="645"/>
      <c r="F8" s="650"/>
      <c r="G8" s="652"/>
      <c r="H8" s="657"/>
      <c r="I8" s="664"/>
      <c r="J8" s="666"/>
      <c r="K8" s="666"/>
      <c r="L8" s="631"/>
      <c r="M8" s="338" t="s">
        <v>71</v>
      </c>
      <c r="N8" s="337" t="s">
        <v>69</v>
      </c>
      <c r="O8" s="337" t="s">
        <v>94</v>
      </c>
      <c r="P8" s="366" t="s">
        <v>70</v>
      </c>
      <c r="Q8" s="681"/>
      <c r="R8" s="367" t="s">
        <v>75</v>
      </c>
      <c r="S8" s="367" t="s">
        <v>72</v>
      </c>
      <c r="T8" s="367" t="s">
        <v>58</v>
      </c>
      <c r="U8" s="367" t="s">
        <v>76</v>
      </c>
      <c r="V8" s="368" t="s">
        <v>77</v>
      </c>
      <c r="W8" s="675"/>
      <c r="X8" s="367" t="s">
        <v>75</v>
      </c>
      <c r="Y8" s="367" t="s">
        <v>72</v>
      </c>
      <c r="Z8" s="367" t="s">
        <v>58</v>
      </c>
      <c r="AA8" s="367" t="s">
        <v>76</v>
      </c>
      <c r="AB8" s="368" t="s">
        <v>77</v>
      </c>
      <c r="AC8" s="675"/>
      <c r="AD8" s="367" t="s">
        <v>75</v>
      </c>
      <c r="AE8" s="367" t="s">
        <v>72</v>
      </c>
      <c r="AF8" s="367" t="s">
        <v>58</v>
      </c>
      <c r="AG8" s="367" t="s">
        <v>76</v>
      </c>
      <c r="AH8" s="368" t="s">
        <v>77</v>
      </c>
      <c r="AI8" s="675"/>
      <c r="AJ8" s="367" t="s">
        <v>75</v>
      </c>
      <c r="AK8" s="367" t="s">
        <v>72</v>
      </c>
      <c r="AL8" s="367" t="s">
        <v>58</v>
      </c>
      <c r="AM8" s="367" t="s">
        <v>76</v>
      </c>
      <c r="AN8" s="368" t="s">
        <v>77</v>
      </c>
      <c r="AO8" s="675"/>
      <c r="AP8" s="367" t="s">
        <v>75</v>
      </c>
      <c r="AQ8" s="367" t="s">
        <v>72</v>
      </c>
      <c r="AR8" s="367" t="s">
        <v>58</v>
      </c>
      <c r="AS8" s="367" t="s">
        <v>76</v>
      </c>
      <c r="AT8" s="368" t="s">
        <v>77</v>
      </c>
      <c r="AU8" s="675"/>
      <c r="AV8" s="367" t="s">
        <v>75</v>
      </c>
      <c r="AW8" s="367" t="s">
        <v>72</v>
      </c>
      <c r="AX8" s="367" t="s">
        <v>58</v>
      </c>
      <c r="AY8" s="367" t="s">
        <v>76</v>
      </c>
      <c r="AZ8" s="368" t="s">
        <v>77</v>
      </c>
      <c r="BA8" s="681"/>
      <c r="BB8" s="367" t="s">
        <v>75</v>
      </c>
      <c r="BC8" s="367" t="s">
        <v>72</v>
      </c>
      <c r="BD8" s="367" t="s">
        <v>58</v>
      </c>
      <c r="BE8" s="367" t="s">
        <v>76</v>
      </c>
      <c r="BF8" s="368" t="s">
        <v>77</v>
      </c>
      <c r="BG8" s="675"/>
      <c r="BH8" s="367" t="s">
        <v>75</v>
      </c>
      <c r="BI8" s="367" t="s">
        <v>72</v>
      </c>
      <c r="BJ8" s="367" t="s">
        <v>58</v>
      </c>
      <c r="BK8" s="367" t="s">
        <v>76</v>
      </c>
      <c r="BL8" s="368" t="s">
        <v>77</v>
      </c>
    </row>
    <row r="9" spans="1:64" ht="16.5" thickBot="1" x14ac:dyDescent="0.25">
      <c r="A9" s="225"/>
      <c r="B9" s="363" t="s">
        <v>59</v>
      </c>
      <c r="C9" s="371"/>
      <c r="D9" s="372"/>
      <c r="E9" s="415"/>
      <c r="F9" s="421">
        <f>SUM(F75+F76+F10)</f>
        <v>5904</v>
      </c>
      <c r="G9" s="418">
        <f>SUM(G76+G76+G10)</f>
        <v>127</v>
      </c>
      <c r="H9" s="381">
        <f>SUM(H76+H10)</f>
        <v>5777</v>
      </c>
      <c r="I9" s="373">
        <f t="shared" ref="I9:AB9" si="0">SUM(I76+I76+I10)</f>
        <v>80</v>
      </c>
      <c r="J9" s="373">
        <f t="shared" si="0"/>
        <v>66</v>
      </c>
      <c r="K9" s="373">
        <f t="shared" si="0"/>
        <v>900</v>
      </c>
      <c r="L9" s="374">
        <f t="shared" si="0"/>
        <v>4257</v>
      </c>
      <c r="M9" s="381">
        <f t="shared" si="0"/>
        <v>2522</v>
      </c>
      <c r="N9" s="373">
        <f t="shared" si="0"/>
        <v>1735</v>
      </c>
      <c r="O9" s="373">
        <f t="shared" si="0"/>
        <v>0</v>
      </c>
      <c r="P9" s="374">
        <f t="shared" si="0"/>
        <v>0</v>
      </c>
      <c r="Q9" s="381">
        <f t="shared" si="0"/>
        <v>612</v>
      </c>
      <c r="R9" s="373">
        <f t="shared" si="0"/>
        <v>0</v>
      </c>
      <c r="S9" s="373">
        <f t="shared" si="0"/>
        <v>0</v>
      </c>
      <c r="T9" s="373">
        <f t="shared" si="0"/>
        <v>0</v>
      </c>
      <c r="U9" s="373">
        <f t="shared" si="0"/>
        <v>0</v>
      </c>
      <c r="V9" s="374">
        <f t="shared" si="0"/>
        <v>612</v>
      </c>
      <c r="W9" s="381">
        <f t="shared" si="0"/>
        <v>864</v>
      </c>
      <c r="X9" s="373">
        <f t="shared" si="0"/>
        <v>0</v>
      </c>
      <c r="Y9" s="373">
        <f t="shared" si="0"/>
        <v>0</v>
      </c>
      <c r="Z9" s="373">
        <f t="shared" si="0"/>
        <v>0</v>
      </c>
      <c r="AA9" s="373">
        <f t="shared" si="0"/>
        <v>0</v>
      </c>
      <c r="AB9" s="374">
        <f t="shared" si="0"/>
        <v>864</v>
      </c>
      <c r="AC9" s="381">
        <v>612</v>
      </c>
      <c r="AD9" s="373">
        <f t="shared" ref="AD9:AT9" si="1">SUM(AD76+AD76+AD10)</f>
        <v>0</v>
      </c>
      <c r="AE9" s="373">
        <f t="shared" si="1"/>
        <v>8</v>
      </c>
      <c r="AF9" s="373">
        <f t="shared" si="1"/>
        <v>2</v>
      </c>
      <c r="AG9" s="373">
        <f t="shared" si="1"/>
        <v>0</v>
      </c>
      <c r="AH9" s="374">
        <f t="shared" si="1"/>
        <v>602</v>
      </c>
      <c r="AI9" s="381">
        <f t="shared" si="1"/>
        <v>864</v>
      </c>
      <c r="AJ9" s="373">
        <f t="shared" si="1"/>
        <v>16</v>
      </c>
      <c r="AK9" s="373">
        <f t="shared" si="1"/>
        <v>24</v>
      </c>
      <c r="AL9" s="373">
        <f t="shared" si="1"/>
        <v>18</v>
      </c>
      <c r="AM9" s="373">
        <f t="shared" si="1"/>
        <v>36</v>
      </c>
      <c r="AN9" s="374">
        <f t="shared" si="1"/>
        <v>770</v>
      </c>
      <c r="AO9" s="381">
        <f t="shared" si="1"/>
        <v>612</v>
      </c>
      <c r="AP9" s="373">
        <f t="shared" si="1"/>
        <v>14</v>
      </c>
      <c r="AQ9" s="373">
        <f t="shared" si="1"/>
        <v>0</v>
      </c>
      <c r="AR9" s="373">
        <f t="shared" si="1"/>
        <v>0</v>
      </c>
      <c r="AS9" s="373">
        <f t="shared" si="1"/>
        <v>108</v>
      </c>
      <c r="AT9" s="374">
        <f t="shared" si="1"/>
        <v>490</v>
      </c>
      <c r="AU9" s="381">
        <v>864</v>
      </c>
      <c r="AV9" s="373">
        <f>SUM(AV76+AV76+AV10)</f>
        <v>52</v>
      </c>
      <c r="AW9" s="373">
        <v>8</v>
      </c>
      <c r="AX9" s="373">
        <f>SUM(AX76+AX76+AX10)</f>
        <v>16</v>
      </c>
      <c r="AY9" s="373">
        <v>432</v>
      </c>
      <c r="AZ9" s="374">
        <f t="shared" ref="AZ9:BF9" si="2">SUM(AZ76+AZ76+AZ10)</f>
        <v>384</v>
      </c>
      <c r="BA9" s="381">
        <f t="shared" si="2"/>
        <v>612</v>
      </c>
      <c r="BB9" s="373">
        <f t="shared" si="2"/>
        <v>20</v>
      </c>
      <c r="BC9" s="373">
        <f t="shared" si="2"/>
        <v>24</v>
      </c>
      <c r="BD9" s="373">
        <f t="shared" si="2"/>
        <v>0</v>
      </c>
      <c r="BE9" s="373">
        <f t="shared" si="2"/>
        <v>72</v>
      </c>
      <c r="BF9" s="374">
        <f t="shared" si="2"/>
        <v>496</v>
      </c>
      <c r="BG9" s="381">
        <f>BG10+BG76</f>
        <v>864</v>
      </c>
      <c r="BH9" s="373">
        <f>SUM(BH76+BH76+BH10)</f>
        <v>37</v>
      </c>
      <c r="BI9" s="373">
        <f>SUM(BI76+BI76+BI10)</f>
        <v>24</v>
      </c>
      <c r="BJ9" s="373">
        <f>SUM(BJ76+BJ76+BJ10)</f>
        <v>14</v>
      </c>
      <c r="BK9" s="373">
        <f>SUM(BK76+BK76+BK10)</f>
        <v>288</v>
      </c>
      <c r="BL9" s="374">
        <f>SUM(BL76+BL76+BL10)</f>
        <v>429</v>
      </c>
    </row>
    <row r="10" spans="1:64" ht="16.5" thickBot="1" x14ac:dyDescent="0.25">
      <c r="A10" s="226"/>
      <c r="B10" s="364" t="s">
        <v>81</v>
      </c>
      <c r="C10" s="375">
        <v>12</v>
      </c>
      <c r="D10" s="369">
        <f>SUM(D36,D51,D57,D644,D11)</f>
        <v>38</v>
      </c>
      <c r="E10" s="416">
        <v>7</v>
      </c>
      <c r="F10" s="422">
        <f>SUM(F50+F36+F33+F26+F11)</f>
        <v>5832</v>
      </c>
      <c r="G10" s="419">
        <f>SUM(G50+G36+G33+G26+G11)</f>
        <v>127</v>
      </c>
      <c r="H10" s="382">
        <f>SUM(H50+H36+H11)</f>
        <v>5705</v>
      </c>
      <c r="I10" s="370">
        <f t="shared" ref="I10:AG10" si="3">SUM(I50+I36+I33+I26+I11)</f>
        <v>80</v>
      </c>
      <c r="J10" s="370">
        <f t="shared" si="3"/>
        <v>66</v>
      </c>
      <c r="K10" s="370">
        <f>SUM(K50+K36+K33+K26+K11)</f>
        <v>900</v>
      </c>
      <c r="L10" s="376">
        <f t="shared" si="3"/>
        <v>4257</v>
      </c>
      <c r="M10" s="382">
        <f t="shared" si="3"/>
        <v>2522</v>
      </c>
      <c r="N10" s="370">
        <f t="shared" si="3"/>
        <v>1735</v>
      </c>
      <c r="O10" s="370">
        <f t="shared" si="3"/>
        <v>0</v>
      </c>
      <c r="P10" s="376">
        <f t="shared" si="3"/>
        <v>0</v>
      </c>
      <c r="Q10" s="382">
        <v>612</v>
      </c>
      <c r="R10" s="370">
        <f t="shared" si="3"/>
        <v>0</v>
      </c>
      <c r="S10" s="370">
        <f t="shared" si="3"/>
        <v>0</v>
      </c>
      <c r="T10" s="370">
        <f t="shared" si="3"/>
        <v>0</v>
      </c>
      <c r="U10" s="370">
        <f t="shared" si="3"/>
        <v>0</v>
      </c>
      <c r="V10" s="376">
        <f>SUM(V36+V50+V11)</f>
        <v>612</v>
      </c>
      <c r="W10" s="382">
        <f>SUM(W36+W50+W11)</f>
        <v>864</v>
      </c>
      <c r="X10" s="370">
        <f t="shared" si="3"/>
        <v>0</v>
      </c>
      <c r="Y10" s="370">
        <f t="shared" si="3"/>
        <v>0</v>
      </c>
      <c r="Z10" s="370">
        <f t="shared" si="3"/>
        <v>0</v>
      </c>
      <c r="AA10" s="370">
        <f t="shared" si="3"/>
        <v>0</v>
      </c>
      <c r="AB10" s="376">
        <f>SUM(AB50+AB36+AB11)</f>
        <v>864</v>
      </c>
      <c r="AC10" s="382">
        <f>SUM(AC36+AC50+AC11)</f>
        <v>612</v>
      </c>
      <c r="AD10" s="370">
        <f t="shared" si="3"/>
        <v>0</v>
      </c>
      <c r="AE10" s="370">
        <f t="shared" si="3"/>
        <v>8</v>
      </c>
      <c r="AF10" s="370">
        <f t="shared" si="3"/>
        <v>2</v>
      </c>
      <c r="AG10" s="370">
        <f t="shared" si="3"/>
        <v>0</v>
      </c>
      <c r="AH10" s="376">
        <f>SUM(AH50+AH36+AH33+AH26+AH11)</f>
        <v>602</v>
      </c>
      <c r="AI10" s="382">
        <f>SUM(AI36+AI50+AI11)</f>
        <v>864</v>
      </c>
      <c r="AJ10" s="370">
        <f>SUM(AJ50+AJ36+AJ33+AJ26+AJ11)</f>
        <v>16</v>
      </c>
      <c r="AK10" s="370">
        <f>SUM(AK50+AK36+AK33+AK26+AK11)</f>
        <v>24</v>
      </c>
      <c r="AL10" s="370">
        <f>SUM(AL50+AL36+AL33+AL26+AL11)</f>
        <v>18</v>
      </c>
      <c r="AM10" s="370">
        <f t="shared" ref="AM10:BK10" si="4">SUM(AM50+AM36+AM33+AM26+AM11)</f>
        <v>36</v>
      </c>
      <c r="AN10" s="376">
        <f>SUM(AN50+AN36+AN11)</f>
        <v>770</v>
      </c>
      <c r="AO10" s="382">
        <f>SUM(AO36+AO50)</f>
        <v>612</v>
      </c>
      <c r="AP10" s="370">
        <f>SUM(AP50+AP36+AP33+AP26+AP11)</f>
        <v>14</v>
      </c>
      <c r="AQ10" s="370">
        <f t="shared" si="4"/>
        <v>0</v>
      </c>
      <c r="AR10" s="370">
        <f t="shared" si="4"/>
        <v>0</v>
      </c>
      <c r="AS10" s="370">
        <f t="shared" si="4"/>
        <v>108</v>
      </c>
      <c r="AT10" s="376">
        <f>SUM(AT50+AT36+AT11)</f>
        <v>490</v>
      </c>
      <c r="AU10" s="382">
        <f>SUM(AU36+AU50)</f>
        <v>864</v>
      </c>
      <c r="AV10" s="382">
        <f t="shared" ref="AV10:AZ10" si="5">SUM(AV36+AV50)</f>
        <v>52</v>
      </c>
      <c r="AW10" s="382">
        <f t="shared" si="5"/>
        <v>16</v>
      </c>
      <c r="AX10" s="382">
        <f t="shared" si="5"/>
        <v>16</v>
      </c>
      <c r="AY10" s="382">
        <f t="shared" si="5"/>
        <v>396</v>
      </c>
      <c r="AZ10" s="382">
        <f t="shared" si="5"/>
        <v>384</v>
      </c>
      <c r="BA10" s="382">
        <f>SUM(BA36+BA50+BC52)</f>
        <v>612</v>
      </c>
      <c r="BB10" s="370">
        <f t="shared" si="4"/>
        <v>20</v>
      </c>
      <c r="BC10" s="370">
        <f t="shared" si="4"/>
        <v>24</v>
      </c>
      <c r="BD10" s="370">
        <f t="shared" si="4"/>
        <v>0</v>
      </c>
      <c r="BE10" s="370">
        <f t="shared" si="4"/>
        <v>72</v>
      </c>
      <c r="BF10" s="376">
        <f>SUM(BF50+BF36+BF11)</f>
        <v>496</v>
      </c>
      <c r="BG10" s="382">
        <f>SUM(BG36+BG50)</f>
        <v>792</v>
      </c>
      <c r="BH10" s="370">
        <f t="shared" si="4"/>
        <v>37</v>
      </c>
      <c r="BI10" s="370">
        <f t="shared" si="4"/>
        <v>24</v>
      </c>
      <c r="BJ10" s="370">
        <f t="shared" si="4"/>
        <v>14</v>
      </c>
      <c r="BK10" s="370">
        <f t="shared" si="4"/>
        <v>288</v>
      </c>
      <c r="BL10" s="376">
        <f>SUM(BL50+BL36+BL11)</f>
        <v>429</v>
      </c>
    </row>
    <row r="11" spans="1:64" ht="19.5" customHeight="1" thickBot="1" x14ac:dyDescent="0.25">
      <c r="A11" s="288" t="s">
        <v>52</v>
      </c>
      <c r="B11" s="365" t="s">
        <v>60</v>
      </c>
      <c r="C11" s="377">
        <v>3</v>
      </c>
      <c r="D11" s="378">
        <v>16</v>
      </c>
      <c r="E11" s="417">
        <v>7</v>
      </c>
      <c r="F11" s="423">
        <f>SUM(F12:F25)</f>
        <v>2082</v>
      </c>
      <c r="G11" s="420">
        <f t="shared" ref="G11:BL11" si="6">SUM(G12:G25)</f>
        <v>0</v>
      </c>
      <c r="H11" s="393">
        <f>SUM(H12:H25)</f>
        <v>2082</v>
      </c>
      <c r="I11" s="379">
        <f t="shared" si="6"/>
        <v>16</v>
      </c>
      <c r="J11" s="379">
        <f t="shared" si="6"/>
        <v>14</v>
      </c>
      <c r="K11" s="379">
        <f t="shared" si="6"/>
        <v>0</v>
      </c>
      <c r="L11" s="398">
        <f t="shared" si="6"/>
        <v>2052</v>
      </c>
      <c r="M11" s="383">
        <f t="shared" si="6"/>
        <v>1641</v>
      </c>
      <c r="N11" s="379">
        <f t="shared" si="6"/>
        <v>411</v>
      </c>
      <c r="O11" s="379">
        <f t="shared" si="6"/>
        <v>0</v>
      </c>
      <c r="P11" s="380">
        <f t="shared" si="6"/>
        <v>0</v>
      </c>
      <c r="Q11" s="393">
        <f t="shared" si="6"/>
        <v>578</v>
      </c>
      <c r="R11" s="389">
        <f t="shared" si="6"/>
        <v>0</v>
      </c>
      <c r="S11" s="389">
        <f t="shared" si="6"/>
        <v>0</v>
      </c>
      <c r="T11" s="389">
        <f t="shared" si="6"/>
        <v>0</v>
      </c>
      <c r="U11" s="389">
        <f t="shared" si="6"/>
        <v>0</v>
      </c>
      <c r="V11" s="398">
        <f t="shared" si="6"/>
        <v>578</v>
      </c>
      <c r="W11" s="383">
        <f>SUM(W12:W25)</f>
        <v>672</v>
      </c>
      <c r="X11" s="379">
        <f t="shared" si="6"/>
        <v>0</v>
      </c>
      <c r="Y11" s="379">
        <f t="shared" si="6"/>
        <v>0</v>
      </c>
      <c r="Z11" s="379">
        <f t="shared" si="6"/>
        <v>0</v>
      </c>
      <c r="AA11" s="379">
        <f t="shared" si="6"/>
        <v>0</v>
      </c>
      <c r="AB11" s="380">
        <f>SUM(AB12:AB25)</f>
        <v>672</v>
      </c>
      <c r="AC11" s="383">
        <f t="shared" si="6"/>
        <v>384</v>
      </c>
      <c r="AD11" s="379">
        <f t="shared" si="6"/>
        <v>0</v>
      </c>
      <c r="AE11" s="379">
        <f t="shared" si="6"/>
        <v>0</v>
      </c>
      <c r="AF11" s="379">
        <f t="shared" si="6"/>
        <v>0</v>
      </c>
      <c r="AG11" s="379">
        <f t="shared" si="6"/>
        <v>0</v>
      </c>
      <c r="AH11" s="380">
        <f>SUM(AH12:AH25)</f>
        <v>384</v>
      </c>
      <c r="AI11" s="393">
        <f t="shared" si="6"/>
        <v>448</v>
      </c>
      <c r="AJ11" s="389">
        <f t="shared" si="6"/>
        <v>0</v>
      </c>
      <c r="AK11" s="389">
        <f t="shared" si="6"/>
        <v>16</v>
      </c>
      <c r="AL11" s="389">
        <f t="shared" si="6"/>
        <v>14</v>
      </c>
      <c r="AM11" s="389">
        <f t="shared" si="6"/>
        <v>0</v>
      </c>
      <c r="AN11" s="398">
        <f>SUM(AN12:AN25)</f>
        <v>418</v>
      </c>
      <c r="AO11" s="383">
        <f t="shared" si="6"/>
        <v>0</v>
      </c>
      <c r="AP11" s="379">
        <f t="shared" si="6"/>
        <v>0</v>
      </c>
      <c r="AQ11" s="379">
        <f t="shared" si="6"/>
        <v>0</v>
      </c>
      <c r="AR11" s="379">
        <f t="shared" si="6"/>
        <v>0</v>
      </c>
      <c r="AS11" s="379">
        <f t="shared" si="6"/>
        <v>0</v>
      </c>
      <c r="AT11" s="380">
        <f t="shared" si="6"/>
        <v>0</v>
      </c>
      <c r="AU11" s="383">
        <f t="shared" si="6"/>
        <v>0</v>
      </c>
      <c r="AV11" s="379">
        <f t="shared" si="6"/>
        <v>0</v>
      </c>
      <c r="AW11" s="379">
        <f t="shared" si="6"/>
        <v>0</v>
      </c>
      <c r="AX11" s="379">
        <f t="shared" si="6"/>
        <v>0</v>
      </c>
      <c r="AY11" s="379">
        <f t="shared" si="6"/>
        <v>0</v>
      </c>
      <c r="AZ11" s="380">
        <f t="shared" si="6"/>
        <v>0</v>
      </c>
      <c r="BA11" s="383">
        <f t="shared" si="6"/>
        <v>0</v>
      </c>
      <c r="BB11" s="379">
        <f t="shared" si="6"/>
        <v>0</v>
      </c>
      <c r="BC11" s="379">
        <f t="shared" si="6"/>
        <v>0</v>
      </c>
      <c r="BD11" s="379">
        <f t="shared" si="6"/>
        <v>0</v>
      </c>
      <c r="BE11" s="379">
        <f t="shared" si="6"/>
        <v>0</v>
      </c>
      <c r="BF11" s="380">
        <f t="shared" si="6"/>
        <v>0</v>
      </c>
      <c r="BG11" s="383">
        <f t="shared" si="6"/>
        <v>0</v>
      </c>
      <c r="BH11" s="379">
        <f t="shared" si="6"/>
        <v>0</v>
      </c>
      <c r="BI11" s="379">
        <f t="shared" si="6"/>
        <v>0</v>
      </c>
      <c r="BJ11" s="379">
        <f t="shared" si="6"/>
        <v>0</v>
      </c>
      <c r="BK11" s="379">
        <f t="shared" si="6"/>
        <v>0</v>
      </c>
      <c r="BL11" s="380">
        <f t="shared" si="6"/>
        <v>0</v>
      </c>
    </row>
    <row r="12" spans="1:64" ht="15.75" x14ac:dyDescent="0.25">
      <c r="A12" s="14" t="s">
        <v>39</v>
      </c>
      <c r="B12" s="282" t="s">
        <v>151</v>
      </c>
      <c r="C12" s="7">
        <v>4</v>
      </c>
      <c r="D12" s="15">
        <v>2</v>
      </c>
      <c r="E12" s="384">
        <v>1</v>
      </c>
      <c r="F12" s="514">
        <f>SUM(H12)</f>
        <v>242</v>
      </c>
      <c r="G12" s="394"/>
      <c r="H12" s="390">
        <f>SUM(Q12+W12+AC12+AI12)</f>
        <v>242</v>
      </c>
      <c r="I12" s="109">
        <v>4</v>
      </c>
      <c r="J12" s="19">
        <v>6</v>
      </c>
      <c r="K12" s="399"/>
      <c r="L12" s="400">
        <f>SUM(V12+AB12+AH12+AN12)</f>
        <v>232</v>
      </c>
      <c r="M12" s="109">
        <v>232</v>
      </c>
      <c r="N12" s="19"/>
      <c r="O12" s="19"/>
      <c r="P12" s="104"/>
      <c r="Q12" s="404">
        <v>68</v>
      </c>
      <c r="R12" s="405"/>
      <c r="S12" s="405"/>
      <c r="T12" s="405"/>
      <c r="U12" s="405"/>
      <c r="V12" s="406">
        <v>68</v>
      </c>
      <c r="W12" s="403">
        <v>72</v>
      </c>
      <c r="X12" s="19"/>
      <c r="Y12" s="19"/>
      <c r="Z12" s="19"/>
      <c r="AA12" s="19"/>
      <c r="AB12" s="205">
        <v>72</v>
      </c>
      <c r="AC12" s="205">
        <v>48</v>
      </c>
      <c r="AD12" s="19"/>
      <c r="AE12" s="19"/>
      <c r="AF12" s="19"/>
      <c r="AG12" s="19"/>
      <c r="AH12" s="411">
        <v>48</v>
      </c>
      <c r="AI12" s="404">
        <v>54</v>
      </c>
      <c r="AJ12" s="405"/>
      <c r="AK12" s="405">
        <v>4</v>
      </c>
      <c r="AL12" s="405">
        <v>6</v>
      </c>
      <c r="AM12" s="405"/>
      <c r="AN12" s="406">
        <v>44</v>
      </c>
      <c r="AO12" s="187"/>
      <c r="AP12" s="19"/>
      <c r="AQ12" s="19"/>
      <c r="AR12" s="19"/>
      <c r="AS12" s="19"/>
      <c r="AT12" s="205"/>
      <c r="AU12" s="187"/>
      <c r="AV12" s="19"/>
      <c r="AW12" s="46"/>
      <c r="AX12" s="46"/>
      <c r="AY12" s="46"/>
      <c r="AZ12" s="221"/>
      <c r="BA12" s="174"/>
      <c r="BB12" s="19"/>
      <c r="BC12" s="19"/>
      <c r="BD12" s="19"/>
      <c r="BE12" s="19"/>
      <c r="BF12" s="205"/>
      <c r="BG12" s="187"/>
      <c r="BH12" s="19"/>
      <c r="BI12" s="19"/>
      <c r="BJ12" s="19"/>
      <c r="BK12" s="19"/>
      <c r="BL12" s="205"/>
    </row>
    <row r="13" spans="1:64" ht="15.75" x14ac:dyDescent="0.25">
      <c r="A13" s="14" t="s">
        <v>40</v>
      </c>
      <c r="B13" s="282" t="s">
        <v>49</v>
      </c>
      <c r="C13" s="117"/>
      <c r="D13" s="17">
        <v>2.4</v>
      </c>
      <c r="E13" s="385">
        <v>1</v>
      </c>
      <c r="F13" s="515">
        <f t="shared" ref="F13:F23" si="7">SUM(H13)</f>
        <v>232</v>
      </c>
      <c r="G13" s="388"/>
      <c r="H13" s="391">
        <f t="shared" ref="H13:H23" si="8">SUM(Q13+W13+AC13+AI13)</f>
        <v>232</v>
      </c>
      <c r="I13" s="112"/>
      <c r="J13" s="14"/>
      <c r="K13" s="156"/>
      <c r="L13" s="401">
        <f t="shared" ref="L13:L23" si="9">SUM(V13+AB13+AH13+AN13)</f>
        <v>232</v>
      </c>
      <c r="M13" s="109">
        <v>232</v>
      </c>
      <c r="N13" s="19"/>
      <c r="O13" s="14"/>
      <c r="P13" s="105"/>
      <c r="Q13" s="407">
        <v>68</v>
      </c>
      <c r="R13" s="14"/>
      <c r="S13" s="14"/>
      <c r="T13" s="14"/>
      <c r="U13" s="14"/>
      <c r="V13" s="206">
        <v>68</v>
      </c>
      <c r="W13" s="403">
        <v>72</v>
      </c>
      <c r="X13" s="14"/>
      <c r="Y13" s="14"/>
      <c r="Z13" s="14"/>
      <c r="AA13" s="14"/>
      <c r="AB13" s="205">
        <v>72</v>
      </c>
      <c r="AC13" s="206">
        <v>48</v>
      </c>
      <c r="AD13" s="14"/>
      <c r="AE13" s="14"/>
      <c r="AF13" s="14"/>
      <c r="AG13" s="14"/>
      <c r="AH13" s="412">
        <v>48</v>
      </c>
      <c r="AI13" s="407">
        <v>44</v>
      </c>
      <c r="AJ13" s="14"/>
      <c r="AK13" s="14"/>
      <c r="AL13" s="14"/>
      <c r="AM13" s="14"/>
      <c r="AN13" s="206">
        <v>44</v>
      </c>
      <c r="AO13" s="190"/>
      <c r="AP13" s="14"/>
      <c r="AQ13" s="14"/>
      <c r="AR13" s="14"/>
      <c r="AS13" s="14"/>
      <c r="AT13" s="206"/>
      <c r="AU13" s="190"/>
      <c r="AV13" s="14"/>
      <c r="AW13" s="18"/>
      <c r="AX13" s="18"/>
      <c r="AY13" s="18"/>
      <c r="AZ13" s="222"/>
      <c r="BA13" s="175"/>
      <c r="BB13" s="14"/>
      <c r="BC13" s="14"/>
      <c r="BD13" s="14"/>
      <c r="BE13" s="14"/>
      <c r="BF13" s="205"/>
      <c r="BG13" s="187"/>
      <c r="BH13" s="14"/>
      <c r="BI13" s="14"/>
      <c r="BJ13" s="14"/>
      <c r="BK13" s="14"/>
      <c r="BL13" s="205"/>
    </row>
    <row r="14" spans="1:64" ht="15.75" x14ac:dyDescent="0.25">
      <c r="A14" s="14" t="s">
        <v>42</v>
      </c>
      <c r="B14" s="283" t="s">
        <v>9</v>
      </c>
      <c r="C14" s="116"/>
      <c r="D14" s="17">
        <v>2.4</v>
      </c>
      <c r="E14" s="386">
        <v>1</v>
      </c>
      <c r="F14" s="515">
        <f t="shared" si="7"/>
        <v>174</v>
      </c>
      <c r="G14" s="388"/>
      <c r="H14" s="391">
        <f t="shared" si="8"/>
        <v>174</v>
      </c>
      <c r="I14" s="112"/>
      <c r="J14" s="14"/>
      <c r="K14" s="156"/>
      <c r="L14" s="401">
        <f t="shared" si="9"/>
        <v>174</v>
      </c>
      <c r="M14" s="109"/>
      <c r="N14" s="19">
        <v>174</v>
      </c>
      <c r="O14" s="14"/>
      <c r="P14" s="105"/>
      <c r="Q14" s="407">
        <v>34</v>
      </c>
      <c r="R14" s="14"/>
      <c r="S14" s="14"/>
      <c r="T14" s="14"/>
      <c r="U14" s="14"/>
      <c r="V14" s="206">
        <v>34</v>
      </c>
      <c r="W14" s="403">
        <v>48</v>
      </c>
      <c r="X14" s="14"/>
      <c r="Y14" s="14"/>
      <c r="Z14" s="14"/>
      <c r="AA14" s="14"/>
      <c r="AB14" s="205">
        <v>48</v>
      </c>
      <c r="AC14" s="206">
        <v>48</v>
      </c>
      <c r="AD14" s="14"/>
      <c r="AE14" s="14"/>
      <c r="AF14" s="14"/>
      <c r="AG14" s="14"/>
      <c r="AH14" s="412">
        <v>48</v>
      </c>
      <c r="AI14" s="407">
        <v>44</v>
      </c>
      <c r="AJ14" s="14"/>
      <c r="AK14" s="14"/>
      <c r="AL14" s="14"/>
      <c r="AM14" s="14"/>
      <c r="AN14" s="206">
        <v>44</v>
      </c>
      <c r="AO14" s="190"/>
      <c r="AP14" s="14"/>
      <c r="AQ14" s="14"/>
      <c r="AR14" s="14"/>
      <c r="AS14" s="14"/>
      <c r="AT14" s="206"/>
      <c r="AU14" s="190"/>
      <c r="AV14" s="14"/>
      <c r="AW14" s="18"/>
      <c r="AX14" s="18"/>
      <c r="AY14" s="18"/>
      <c r="AZ14" s="222"/>
      <c r="BA14" s="175"/>
      <c r="BB14" s="14"/>
      <c r="BC14" s="14"/>
      <c r="BD14" s="14"/>
      <c r="BE14" s="14"/>
      <c r="BF14" s="205"/>
      <c r="BG14" s="187"/>
      <c r="BH14" s="14"/>
      <c r="BI14" s="14"/>
      <c r="BJ14" s="14"/>
      <c r="BK14" s="14"/>
      <c r="BL14" s="205"/>
    </row>
    <row r="15" spans="1:64" ht="15.75" x14ac:dyDescent="0.25">
      <c r="A15" s="14" t="s">
        <v>155</v>
      </c>
      <c r="B15" s="284" t="s">
        <v>152</v>
      </c>
      <c r="C15" s="78">
        <v>4</v>
      </c>
      <c r="D15" s="18">
        <v>2</v>
      </c>
      <c r="E15" s="105">
        <v>1</v>
      </c>
      <c r="F15" s="515">
        <f t="shared" si="7"/>
        <v>322</v>
      </c>
      <c r="G15" s="395"/>
      <c r="H15" s="391">
        <f t="shared" si="8"/>
        <v>322</v>
      </c>
      <c r="I15" s="113">
        <v>4</v>
      </c>
      <c r="J15" s="17">
        <v>4</v>
      </c>
      <c r="K15" s="385"/>
      <c r="L15" s="401">
        <f>SUM(V15+AB15+AH15+AN15)</f>
        <v>314</v>
      </c>
      <c r="M15" s="109">
        <v>314</v>
      </c>
      <c r="N15" s="19"/>
      <c r="O15" s="17"/>
      <c r="P15" s="105"/>
      <c r="Q15" s="407">
        <v>68</v>
      </c>
      <c r="R15" s="17"/>
      <c r="S15" s="17"/>
      <c r="T15" s="17"/>
      <c r="U15" s="17"/>
      <c r="V15" s="206">
        <v>68</v>
      </c>
      <c r="W15" s="403">
        <v>72</v>
      </c>
      <c r="X15" s="17"/>
      <c r="Y15" s="17"/>
      <c r="Z15" s="17"/>
      <c r="AA15" s="17"/>
      <c r="AB15" s="205">
        <v>72</v>
      </c>
      <c r="AC15" s="207">
        <v>64</v>
      </c>
      <c r="AD15" s="17"/>
      <c r="AE15" s="17"/>
      <c r="AF15" s="17"/>
      <c r="AG15" s="17"/>
      <c r="AH15" s="413">
        <v>64</v>
      </c>
      <c r="AI15" s="414">
        <v>118</v>
      </c>
      <c r="AJ15" s="17"/>
      <c r="AK15" s="17">
        <v>4</v>
      </c>
      <c r="AL15" s="17">
        <v>4</v>
      </c>
      <c r="AM15" s="17"/>
      <c r="AN15" s="207">
        <v>110</v>
      </c>
      <c r="AO15" s="191"/>
      <c r="AP15" s="17"/>
      <c r="AQ15" s="17"/>
      <c r="AR15" s="17"/>
      <c r="AS15" s="17"/>
      <c r="AT15" s="207"/>
      <c r="AU15" s="191"/>
      <c r="AV15" s="17"/>
      <c r="AW15" s="18"/>
      <c r="AX15" s="18"/>
      <c r="AY15" s="18"/>
      <c r="AZ15" s="222"/>
      <c r="BA15" s="176"/>
      <c r="BB15" s="17"/>
      <c r="BC15" s="17"/>
      <c r="BD15" s="17"/>
      <c r="BE15" s="17"/>
      <c r="BF15" s="205"/>
      <c r="BG15" s="187"/>
      <c r="BH15" s="17"/>
      <c r="BI15" s="17"/>
      <c r="BJ15" s="17"/>
      <c r="BK15" s="17"/>
      <c r="BL15" s="205"/>
    </row>
    <row r="16" spans="1:64" ht="15.75" x14ac:dyDescent="0.25">
      <c r="A16" s="14" t="s">
        <v>96</v>
      </c>
      <c r="B16" s="285" t="s">
        <v>10</v>
      </c>
      <c r="C16" s="113"/>
      <c r="D16" s="18">
        <v>2.4</v>
      </c>
      <c r="E16" s="105">
        <v>1</v>
      </c>
      <c r="F16" s="515">
        <f t="shared" si="7"/>
        <v>192</v>
      </c>
      <c r="G16" s="396"/>
      <c r="H16" s="391">
        <f t="shared" si="8"/>
        <v>192</v>
      </c>
      <c r="I16" s="112"/>
      <c r="J16" s="14"/>
      <c r="K16" s="385"/>
      <c r="L16" s="401">
        <f t="shared" si="9"/>
        <v>192</v>
      </c>
      <c r="M16" s="109">
        <v>192</v>
      </c>
      <c r="N16" s="19"/>
      <c r="O16" s="17"/>
      <c r="P16" s="105"/>
      <c r="Q16" s="407">
        <v>68</v>
      </c>
      <c r="R16" s="14"/>
      <c r="S16" s="14"/>
      <c r="T16" s="14"/>
      <c r="U16" s="14"/>
      <c r="V16" s="206">
        <v>68</v>
      </c>
      <c r="W16" s="403">
        <v>48</v>
      </c>
      <c r="X16" s="14"/>
      <c r="Y16" s="14"/>
      <c r="Z16" s="14"/>
      <c r="AA16" s="14"/>
      <c r="AB16" s="205">
        <v>48</v>
      </c>
      <c r="AC16" s="206">
        <v>32</v>
      </c>
      <c r="AD16" s="14"/>
      <c r="AE16" s="14"/>
      <c r="AF16" s="14"/>
      <c r="AG16" s="14"/>
      <c r="AH16" s="412">
        <v>32</v>
      </c>
      <c r="AI16" s="407">
        <v>44</v>
      </c>
      <c r="AJ16" s="14"/>
      <c r="AK16" s="14"/>
      <c r="AL16" s="14"/>
      <c r="AM16" s="14"/>
      <c r="AN16" s="206">
        <v>44</v>
      </c>
      <c r="AO16" s="190"/>
      <c r="AP16" s="14"/>
      <c r="AQ16" s="14"/>
      <c r="AR16" s="14"/>
      <c r="AS16" s="14"/>
      <c r="AT16" s="206"/>
      <c r="AU16" s="190"/>
      <c r="AV16" s="14"/>
      <c r="AW16" s="18"/>
      <c r="AX16" s="18"/>
      <c r="AY16" s="18"/>
      <c r="AZ16" s="222"/>
      <c r="BA16" s="175"/>
      <c r="BB16" s="14"/>
      <c r="BC16" s="14"/>
      <c r="BD16" s="14"/>
      <c r="BE16" s="14"/>
      <c r="BF16" s="205"/>
      <c r="BG16" s="187"/>
      <c r="BH16" s="14"/>
      <c r="BI16" s="14"/>
      <c r="BJ16" s="14"/>
      <c r="BK16" s="14"/>
      <c r="BL16" s="205"/>
    </row>
    <row r="17" spans="1:64" ht="15.75" x14ac:dyDescent="0.25">
      <c r="A17" s="14" t="s">
        <v>43</v>
      </c>
      <c r="B17" s="239" t="s">
        <v>23</v>
      </c>
      <c r="C17" s="115"/>
      <c r="D17" s="16" t="s">
        <v>88</v>
      </c>
      <c r="E17" s="386"/>
      <c r="F17" s="515">
        <f t="shared" si="7"/>
        <v>237</v>
      </c>
      <c r="G17" s="388"/>
      <c r="H17" s="391">
        <f t="shared" si="8"/>
        <v>237</v>
      </c>
      <c r="I17" s="112"/>
      <c r="J17" s="14"/>
      <c r="K17" s="156"/>
      <c r="L17" s="401">
        <f t="shared" si="9"/>
        <v>237</v>
      </c>
      <c r="M17" s="109"/>
      <c r="N17" s="19">
        <v>237</v>
      </c>
      <c r="O17" s="14"/>
      <c r="P17" s="105"/>
      <c r="Q17" s="407">
        <v>51</v>
      </c>
      <c r="R17" s="14"/>
      <c r="S17" s="14"/>
      <c r="T17" s="14"/>
      <c r="U17" s="14"/>
      <c r="V17" s="206">
        <v>51</v>
      </c>
      <c r="W17" s="403">
        <v>72</v>
      </c>
      <c r="X17" s="14"/>
      <c r="Y17" s="14"/>
      <c r="Z17" s="14"/>
      <c r="AA17" s="14"/>
      <c r="AB17" s="205">
        <v>72</v>
      </c>
      <c r="AC17" s="206">
        <v>48</v>
      </c>
      <c r="AD17" s="14"/>
      <c r="AE17" s="14"/>
      <c r="AF17" s="14"/>
      <c r="AG17" s="14"/>
      <c r="AH17" s="412">
        <v>48</v>
      </c>
      <c r="AI17" s="407">
        <v>66</v>
      </c>
      <c r="AJ17" s="14"/>
      <c r="AK17" s="14"/>
      <c r="AL17" s="14"/>
      <c r="AM17" s="14"/>
      <c r="AN17" s="206">
        <v>66</v>
      </c>
      <c r="AO17" s="190"/>
      <c r="AP17" s="14"/>
      <c r="AQ17" s="14"/>
      <c r="AR17" s="14"/>
      <c r="AS17" s="14"/>
      <c r="AT17" s="206"/>
      <c r="AU17" s="190"/>
      <c r="AV17" s="14"/>
      <c r="AW17" s="18"/>
      <c r="AX17" s="18"/>
      <c r="AY17" s="18"/>
      <c r="AZ17" s="222"/>
      <c r="BA17" s="175"/>
      <c r="BB17" s="14"/>
      <c r="BC17" s="14"/>
      <c r="BD17" s="14"/>
      <c r="BE17" s="14"/>
      <c r="BF17" s="205"/>
      <c r="BG17" s="187"/>
      <c r="BH17" s="14"/>
      <c r="BI17" s="14"/>
      <c r="BJ17" s="14"/>
      <c r="BK17" s="14"/>
      <c r="BL17" s="205"/>
    </row>
    <row r="18" spans="1:64" ht="15.75" x14ac:dyDescent="0.25">
      <c r="A18" s="14" t="s">
        <v>41</v>
      </c>
      <c r="B18" s="283" t="s">
        <v>32</v>
      </c>
      <c r="C18" s="118"/>
      <c r="D18" s="16">
        <v>1.2</v>
      </c>
      <c r="E18" s="386"/>
      <c r="F18" s="515">
        <f t="shared" si="7"/>
        <v>82</v>
      </c>
      <c r="G18" s="397"/>
      <c r="H18" s="391">
        <f t="shared" si="8"/>
        <v>82</v>
      </c>
      <c r="I18" s="109"/>
      <c r="J18" s="19"/>
      <c r="K18" s="156"/>
      <c r="L18" s="401">
        <f t="shared" si="9"/>
        <v>82</v>
      </c>
      <c r="M18" s="109">
        <v>82</v>
      </c>
      <c r="N18" s="19"/>
      <c r="O18" s="23"/>
      <c r="P18" s="105"/>
      <c r="Q18" s="407">
        <v>34</v>
      </c>
      <c r="R18" s="14"/>
      <c r="S18" s="14"/>
      <c r="T18" s="14"/>
      <c r="U18" s="14"/>
      <c r="V18" s="206">
        <v>34</v>
      </c>
      <c r="W18" s="403">
        <v>48</v>
      </c>
      <c r="X18" s="19"/>
      <c r="Y18" s="19"/>
      <c r="Z18" s="19"/>
      <c r="AA18" s="19"/>
      <c r="AB18" s="205">
        <v>48</v>
      </c>
      <c r="AC18" s="205"/>
      <c r="AD18" s="19"/>
      <c r="AE18" s="19"/>
      <c r="AF18" s="19"/>
      <c r="AG18" s="19"/>
      <c r="AH18" s="411"/>
      <c r="AI18" s="407"/>
      <c r="AJ18" s="14"/>
      <c r="AK18" s="14"/>
      <c r="AL18" s="14"/>
      <c r="AM18" s="14"/>
      <c r="AN18" s="206"/>
      <c r="AO18" s="187"/>
      <c r="AP18" s="19"/>
      <c r="AQ18" s="19"/>
      <c r="AR18" s="19"/>
      <c r="AS18" s="19"/>
      <c r="AT18" s="205"/>
      <c r="AU18" s="187"/>
      <c r="AV18" s="19"/>
      <c r="AW18" s="18"/>
      <c r="AX18" s="18"/>
      <c r="AY18" s="18"/>
      <c r="AZ18" s="222"/>
      <c r="BA18" s="174"/>
      <c r="BB18" s="19"/>
      <c r="BC18" s="19"/>
      <c r="BD18" s="19"/>
      <c r="BE18" s="19"/>
      <c r="BF18" s="205"/>
      <c r="BG18" s="187"/>
      <c r="BH18" s="19"/>
      <c r="BI18" s="19"/>
      <c r="BJ18" s="19"/>
      <c r="BK18" s="19"/>
      <c r="BL18" s="205"/>
    </row>
    <row r="19" spans="1:64" ht="15.75" x14ac:dyDescent="0.25">
      <c r="A19" s="14" t="s">
        <v>156</v>
      </c>
      <c r="B19" s="283" t="s">
        <v>199</v>
      </c>
      <c r="C19" s="116"/>
      <c r="D19" s="18">
        <v>2</v>
      </c>
      <c r="E19" s="105">
        <v>1</v>
      </c>
      <c r="F19" s="515">
        <f t="shared" si="7"/>
        <v>82</v>
      </c>
      <c r="G19" s="395"/>
      <c r="H19" s="391">
        <f t="shared" si="8"/>
        <v>82</v>
      </c>
      <c r="I19" s="113"/>
      <c r="J19" s="17"/>
      <c r="K19" s="385"/>
      <c r="L19" s="401">
        <f t="shared" si="9"/>
        <v>82</v>
      </c>
      <c r="M19" s="109">
        <v>82</v>
      </c>
      <c r="N19" s="19"/>
      <c r="O19" s="17"/>
      <c r="P19" s="64"/>
      <c r="Q19" s="407">
        <v>34</v>
      </c>
      <c r="R19" s="17"/>
      <c r="S19" s="17"/>
      <c r="T19" s="17"/>
      <c r="U19" s="17"/>
      <c r="V19" s="206">
        <v>34</v>
      </c>
      <c r="W19" s="403">
        <v>48</v>
      </c>
      <c r="X19" s="17"/>
      <c r="Y19" s="17"/>
      <c r="Z19" s="17"/>
      <c r="AA19" s="17"/>
      <c r="AB19" s="205">
        <v>48</v>
      </c>
      <c r="AC19" s="207"/>
      <c r="AD19" s="17"/>
      <c r="AE19" s="17"/>
      <c r="AF19" s="17"/>
      <c r="AG19" s="17"/>
      <c r="AH19" s="413"/>
      <c r="AI19" s="414"/>
      <c r="AJ19" s="17"/>
      <c r="AK19" s="17"/>
      <c r="AL19" s="17"/>
      <c r="AM19" s="17"/>
      <c r="AN19" s="207"/>
      <c r="AO19" s="191"/>
      <c r="AP19" s="17"/>
      <c r="AQ19" s="17"/>
      <c r="AR19" s="17"/>
      <c r="AS19" s="17"/>
      <c r="AT19" s="207"/>
      <c r="AU19" s="191"/>
      <c r="AV19" s="17"/>
      <c r="AW19" s="18"/>
      <c r="AX19" s="18"/>
      <c r="AY19" s="18"/>
      <c r="AZ19" s="222"/>
      <c r="BA19" s="176"/>
      <c r="BB19" s="17"/>
      <c r="BC19" s="17"/>
      <c r="BD19" s="17"/>
      <c r="BE19" s="17"/>
      <c r="BF19" s="205"/>
      <c r="BG19" s="187"/>
      <c r="BH19" s="17"/>
      <c r="BI19" s="17"/>
      <c r="BJ19" s="17"/>
      <c r="BK19" s="17"/>
      <c r="BL19" s="205"/>
    </row>
    <row r="20" spans="1:64" ht="15.75" x14ac:dyDescent="0.25">
      <c r="A20" s="14" t="s">
        <v>157</v>
      </c>
      <c r="B20" s="283" t="s">
        <v>153</v>
      </c>
      <c r="C20" s="116">
        <v>4</v>
      </c>
      <c r="D20" s="16">
        <v>2</v>
      </c>
      <c r="E20" s="386">
        <v>1</v>
      </c>
      <c r="F20" s="515">
        <f t="shared" si="7"/>
        <v>189</v>
      </c>
      <c r="G20" s="388"/>
      <c r="H20" s="391">
        <f t="shared" si="8"/>
        <v>189</v>
      </c>
      <c r="I20" s="112">
        <v>8</v>
      </c>
      <c r="J20" s="14">
        <v>4</v>
      </c>
      <c r="K20" s="156"/>
      <c r="L20" s="401">
        <f t="shared" si="9"/>
        <v>177</v>
      </c>
      <c r="M20" s="109">
        <v>177</v>
      </c>
      <c r="N20" s="109"/>
      <c r="O20" s="14"/>
      <c r="P20" s="105"/>
      <c r="Q20" s="407">
        <v>51</v>
      </c>
      <c r="R20" s="14"/>
      <c r="S20" s="14"/>
      <c r="T20" s="14"/>
      <c r="U20" s="14"/>
      <c r="V20" s="206">
        <v>51</v>
      </c>
      <c r="W20" s="403">
        <v>72</v>
      </c>
      <c r="X20" s="112"/>
      <c r="Y20" s="14"/>
      <c r="Z20" s="14"/>
      <c r="AA20" s="14"/>
      <c r="AB20" s="205">
        <v>72</v>
      </c>
      <c r="AC20" s="206">
        <v>32</v>
      </c>
      <c r="AD20" s="14"/>
      <c r="AE20" s="14"/>
      <c r="AF20" s="14"/>
      <c r="AG20" s="14"/>
      <c r="AH20" s="412">
        <v>32</v>
      </c>
      <c r="AI20" s="407">
        <v>34</v>
      </c>
      <c r="AJ20" s="14"/>
      <c r="AK20" s="14">
        <v>8</v>
      </c>
      <c r="AL20" s="14">
        <v>4</v>
      </c>
      <c r="AM20" s="14"/>
      <c r="AN20" s="206">
        <v>22</v>
      </c>
      <c r="AO20" s="190"/>
      <c r="AP20" s="14"/>
      <c r="AQ20" s="14"/>
      <c r="AR20" s="14"/>
      <c r="AS20" s="14"/>
      <c r="AT20" s="206"/>
      <c r="AU20" s="190"/>
      <c r="AV20" s="14"/>
      <c r="AW20" s="18"/>
      <c r="AX20" s="18"/>
      <c r="AY20" s="18"/>
      <c r="AZ20" s="222"/>
      <c r="BA20" s="175"/>
      <c r="BB20" s="112"/>
      <c r="BC20" s="14"/>
      <c r="BD20" s="14"/>
      <c r="BE20" s="14"/>
      <c r="BF20" s="205"/>
      <c r="BG20" s="174"/>
      <c r="BH20" s="112"/>
      <c r="BI20" s="14"/>
      <c r="BJ20" s="14"/>
      <c r="BK20" s="14"/>
      <c r="BL20" s="205"/>
    </row>
    <row r="21" spans="1:64" ht="15.75" x14ac:dyDescent="0.25">
      <c r="A21" s="14" t="s">
        <v>95</v>
      </c>
      <c r="B21" s="283" t="s">
        <v>154</v>
      </c>
      <c r="C21" s="110"/>
      <c r="D21" s="24">
        <v>2.4</v>
      </c>
      <c r="E21" s="387"/>
      <c r="F21" s="515">
        <f t="shared" si="7"/>
        <v>158</v>
      </c>
      <c r="G21" s="293"/>
      <c r="H21" s="391">
        <f t="shared" si="8"/>
        <v>158</v>
      </c>
      <c r="I21" s="114"/>
      <c r="J21" s="23"/>
      <c r="K21" s="224"/>
      <c r="L21" s="401">
        <f t="shared" si="9"/>
        <v>158</v>
      </c>
      <c r="M21" s="109">
        <v>158</v>
      </c>
      <c r="N21" s="109"/>
      <c r="O21" s="23"/>
      <c r="P21" s="106"/>
      <c r="Q21" s="407">
        <v>34</v>
      </c>
      <c r="R21" s="14"/>
      <c r="S21" s="14"/>
      <c r="T21" s="14"/>
      <c r="U21" s="14"/>
      <c r="V21" s="206">
        <v>34</v>
      </c>
      <c r="W21" s="403">
        <v>48</v>
      </c>
      <c r="X21" s="14"/>
      <c r="Y21" s="14"/>
      <c r="Z21" s="14"/>
      <c r="AA21" s="14"/>
      <c r="AB21" s="205">
        <v>48</v>
      </c>
      <c r="AC21" s="206">
        <v>32</v>
      </c>
      <c r="AD21" s="14"/>
      <c r="AE21" s="14"/>
      <c r="AF21" s="14"/>
      <c r="AG21" s="14"/>
      <c r="AH21" s="412">
        <v>32</v>
      </c>
      <c r="AI21" s="407">
        <v>44</v>
      </c>
      <c r="AJ21" s="14"/>
      <c r="AK21" s="14"/>
      <c r="AL21" s="14"/>
      <c r="AM21" s="14"/>
      <c r="AN21" s="206">
        <v>44</v>
      </c>
      <c r="AO21" s="190"/>
      <c r="AP21" s="14"/>
      <c r="AQ21" s="14"/>
      <c r="AR21" s="14"/>
      <c r="AS21" s="14"/>
      <c r="AT21" s="206"/>
      <c r="AU21" s="190"/>
      <c r="AV21" s="14"/>
      <c r="AW21" s="18"/>
      <c r="AX21" s="18"/>
      <c r="AY21" s="18"/>
      <c r="AZ21" s="222"/>
      <c r="BA21" s="175"/>
      <c r="BB21" s="14"/>
      <c r="BC21" s="14"/>
      <c r="BD21" s="14"/>
      <c r="BE21" s="14"/>
      <c r="BF21" s="206"/>
      <c r="BG21" s="187"/>
      <c r="BH21" s="14"/>
      <c r="BI21" s="14"/>
      <c r="BJ21" s="14"/>
      <c r="BK21" s="14"/>
      <c r="BL21" s="205"/>
    </row>
    <row r="22" spans="1:64" ht="15.75" x14ac:dyDescent="0.25">
      <c r="A22" s="14" t="s">
        <v>53</v>
      </c>
      <c r="B22" s="283" t="s">
        <v>200</v>
      </c>
      <c r="C22" s="110"/>
      <c r="D22" s="24">
        <v>1</v>
      </c>
      <c r="E22" s="387"/>
      <c r="F22" s="515">
        <f t="shared" si="7"/>
        <v>34</v>
      </c>
      <c r="G22" s="293"/>
      <c r="H22" s="391">
        <f t="shared" si="8"/>
        <v>34</v>
      </c>
      <c r="I22" s="114"/>
      <c r="J22" s="23"/>
      <c r="K22" s="224"/>
      <c r="L22" s="401">
        <f t="shared" si="9"/>
        <v>34</v>
      </c>
      <c r="M22" s="109">
        <v>34</v>
      </c>
      <c r="N22" s="109"/>
      <c r="O22" s="23"/>
      <c r="P22" s="106"/>
      <c r="Q22" s="407">
        <v>34</v>
      </c>
      <c r="R22" s="14"/>
      <c r="S22" s="14"/>
      <c r="T22" s="14"/>
      <c r="U22" s="14"/>
      <c r="V22" s="206">
        <v>34</v>
      </c>
      <c r="W22" s="403"/>
      <c r="X22" s="14"/>
      <c r="Y22" s="14"/>
      <c r="Z22" s="14"/>
      <c r="AA22" s="14"/>
      <c r="AB22" s="205"/>
      <c r="AC22" s="206"/>
      <c r="AD22" s="14"/>
      <c r="AE22" s="14"/>
      <c r="AF22" s="14"/>
      <c r="AG22" s="14"/>
      <c r="AH22" s="412"/>
      <c r="AI22" s="175"/>
      <c r="AJ22" s="14"/>
      <c r="AK22" s="14"/>
      <c r="AL22" s="14"/>
      <c r="AM22" s="14"/>
      <c r="AN22" s="206"/>
      <c r="AO22" s="190"/>
      <c r="AP22" s="14"/>
      <c r="AQ22" s="14"/>
      <c r="AR22" s="14"/>
      <c r="AS22" s="14"/>
      <c r="AT22" s="206"/>
      <c r="AU22" s="190"/>
      <c r="AV22" s="14"/>
      <c r="AW22" s="18"/>
      <c r="AX22" s="18"/>
      <c r="AY22" s="18"/>
      <c r="AZ22" s="222"/>
      <c r="BA22" s="175"/>
      <c r="BB22" s="14"/>
      <c r="BC22" s="14"/>
      <c r="BD22" s="14"/>
      <c r="BE22" s="14"/>
      <c r="BF22" s="206"/>
      <c r="BG22" s="187"/>
      <c r="BH22" s="14"/>
      <c r="BI22" s="14"/>
      <c r="BJ22" s="14"/>
      <c r="BK22" s="14"/>
      <c r="BL22" s="205"/>
    </row>
    <row r="23" spans="1:64" ht="15.75" x14ac:dyDescent="0.25">
      <c r="A23" s="14" t="s">
        <v>158</v>
      </c>
      <c r="B23" s="286" t="s">
        <v>201</v>
      </c>
      <c r="C23" s="110"/>
      <c r="D23" s="24">
        <v>3</v>
      </c>
      <c r="E23" s="291"/>
      <c r="F23" s="515">
        <f t="shared" si="7"/>
        <v>138</v>
      </c>
      <c r="G23" s="293"/>
      <c r="H23" s="391">
        <f t="shared" si="8"/>
        <v>138</v>
      </c>
      <c r="I23" s="114"/>
      <c r="J23" s="23"/>
      <c r="K23" s="224"/>
      <c r="L23" s="401">
        <f t="shared" si="9"/>
        <v>138</v>
      </c>
      <c r="M23" s="109">
        <v>138</v>
      </c>
      <c r="N23" s="109"/>
      <c r="O23" s="23"/>
      <c r="P23" s="106"/>
      <c r="Q23" s="407">
        <v>34</v>
      </c>
      <c r="R23" s="14"/>
      <c r="S23" s="14"/>
      <c r="T23" s="14"/>
      <c r="U23" s="14"/>
      <c r="V23" s="206">
        <v>34</v>
      </c>
      <c r="W23" s="403">
        <v>72</v>
      </c>
      <c r="X23" s="112"/>
      <c r="Y23" s="14"/>
      <c r="Z23" s="14"/>
      <c r="AA23" s="14"/>
      <c r="AB23" s="205">
        <v>72</v>
      </c>
      <c r="AC23" s="206">
        <v>32</v>
      </c>
      <c r="AD23" s="14"/>
      <c r="AE23" s="14"/>
      <c r="AF23" s="14"/>
      <c r="AG23" s="14"/>
      <c r="AH23" s="412">
        <v>32</v>
      </c>
      <c r="AI23" s="175"/>
      <c r="AJ23" s="14"/>
      <c r="AK23" s="14"/>
      <c r="AL23" s="14"/>
      <c r="AM23" s="14"/>
      <c r="AN23" s="206"/>
      <c r="AO23" s="190"/>
      <c r="AP23" s="14"/>
      <c r="AQ23" s="14"/>
      <c r="AR23" s="14"/>
      <c r="AS23" s="14"/>
      <c r="AT23" s="206"/>
      <c r="AU23" s="190"/>
      <c r="AV23" s="14"/>
      <c r="AW23" s="18"/>
      <c r="AX23" s="18"/>
      <c r="AY23" s="18"/>
      <c r="AZ23" s="222"/>
      <c r="BA23" s="175"/>
      <c r="BB23" s="112"/>
      <c r="BC23" s="14"/>
      <c r="BD23" s="14"/>
      <c r="BE23" s="14"/>
      <c r="BF23" s="206"/>
      <c r="BG23" s="187"/>
      <c r="BH23" s="112"/>
      <c r="BI23" s="14"/>
      <c r="BJ23" s="14"/>
      <c r="BK23" s="14"/>
      <c r="BL23" s="205"/>
    </row>
    <row r="24" spans="1:64" ht="4.5" customHeight="1" x14ac:dyDescent="0.25">
      <c r="A24" s="14"/>
      <c r="B24" s="286"/>
      <c r="C24" s="110"/>
      <c r="D24" s="24"/>
      <c r="E24" s="291"/>
      <c r="F24" s="515"/>
      <c r="G24" s="293"/>
      <c r="H24" s="391"/>
      <c r="I24" s="114"/>
      <c r="J24" s="23"/>
      <c r="K24" s="224"/>
      <c r="L24" s="401"/>
      <c r="M24" s="109"/>
      <c r="N24" s="109"/>
      <c r="O24" s="23"/>
      <c r="P24" s="106"/>
      <c r="Q24" s="175"/>
      <c r="R24" s="14"/>
      <c r="S24" s="14"/>
      <c r="T24" s="14"/>
      <c r="U24" s="14"/>
      <c r="V24" s="206"/>
      <c r="W24" s="403"/>
      <c r="X24" s="112"/>
      <c r="Y24" s="14"/>
      <c r="Z24" s="14"/>
      <c r="AA24" s="14"/>
      <c r="AB24" s="205"/>
      <c r="AC24" s="190"/>
      <c r="AD24" s="14"/>
      <c r="AE24" s="14"/>
      <c r="AF24" s="14"/>
      <c r="AG24" s="14"/>
      <c r="AH24" s="412"/>
      <c r="AI24" s="175"/>
      <c r="AJ24" s="14"/>
      <c r="AK24" s="14"/>
      <c r="AL24" s="14"/>
      <c r="AM24" s="14"/>
      <c r="AN24" s="206"/>
      <c r="AO24" s="190"/>
      <c r="AP24" s="14"/>
      <c r="AQ24" s="14"/>
      <c r="AR24" s="14"/>
      <c r="AS24" s="14"/>
      <c r="AT24" s="206"/>
      <c r="AU24" s="190"/>
      <c r="AV24" s="14"/>
      <c r="AW24" s="18"/>
      <c r="AX24" s="18"/>
      <c r="AY24" s="18"/>
      <c r="AZ24" s="222"/>
      <c r="BA24" s="175"/>
      <c r="BB24" s="112"/>
      <c r="BC24" s="14"/>
      <c r="BD24" s="14"/>
      <c r="BE24" s="14"/>
      <c r="BF24" s="206"/>
      <c r="BG24" s="187"/>
      <c r="BH24" s="112"/>
      <c r="BI24" s="14"/>
      <c r="BJ24" s="14"/>
      <c r="BK24" s="14"/>
      <c r="BL24" s="205"/>
    </row>
    <row r="25" spans="1:64" ht="3" customHeight="1" thickBot="1" x14ac:dyDescent="0.3">
      <c r="A25" s="14"/>
      <c r="B25" s="287"/>
      <c r="C25" s="116"/>
      <c r="D25" s="16"/>
      <c r="E25" s="292"/>
      <c r="F25" s="392"/>
      <c r="G25" s="293"/>
      <c r="H25" s="392"/>
      <c r="I25" s="112"/>
      <c r="J25" s="14"/>
      <c r="K25" s="156"/>
      <c r="L25" s="402"/>
      <c r="M25" s="109"/>
      <c r="N25" s="109"/>
      <c r="O25" s="14"/>
      <c r="P25" s="105"/>
      <c r="Q25" s="408"/>
      <c r="R25" s="409"/>
      <c r="S25" s="409"/>
      <c r="T25" s="409"/>
      <c r="U25" s="409"/>
      <c r="V25" s="410"/>
      <c r="W25" s="403"/>
      <c r="X25" s="112"/>
      <c r="Y25" s="14"/>
      <c r="Z25" s="14"/>
      <c r="AA25" s="14"/>
      <c r="AB25" s="205"/>
      <c r="AC25" s="190"/>
      <c r="AD25" s="14"/>
      <c r="AE25" s="14"/>
      <c r="AF25" s="14"/>
      <c r="AG25" s="14"/>
      <c r="AH25" s="412"/>
      <c r="AI25" s="408"/>
      <c r="AJ25" s="409"/>
      <c r="AK25" s="409"/>
      <c r="AL25" s="409"/>
      <c r="AM25" s="409"/>
      <c r="AN25" s="410"/>
      <c r="AO25" s="190"/>
      <c r="AP25" s="14"/>
      <c r="AQ25" s="14"/>
      <c r="AR25" s="14"/>
      <c r="AS25" s="14"/>
      <c r="AT25" s="206"/>
      <c r="AU25" s="190"/>
      <c r="AV25" s="14"/>
      <c r="AW25" s="18"/>
      <c r="AX25" s="18"/>
      <c r="AY25" s="18"/>
      <c r="AZ25" s="223"/>
      <c r="BA25" s="175"/>
      <c r="BB25" s="112"/>
      <c r="BC25" s="14"/>
      <c r="BD25" s="14"/>
      <c r="BE25" s="14"/>
      <c r="BF25" s="206"/>
      <c r="BG25" s="174"/>
      <c r="BH25" s="112"/>
      <c r="BI25" s="14"/>
      <c r="BJ25" s="14"/>
      <c r="BK25" s="14"/>
      <c r="BL25" s="205"/>
    </row>
    <row r="26" spans="1:64" ht="18.75" hidden="1" customHeight="1" thickBot="1" x14ac:dyDescent="0.25">
      <c r="A26" s="289" t="s">
        <v>160</v>
      </c>
      <c r="B26" s="54" t="s">
        <v>159</v>
      </c>
      <c r="C26" s="55"/>
      <c r="D26" s="44">
        <v>5</v>
      </c>
      <c r="E26" s="56">
        <v>3</v>
      </c>
      <c r="F26" s="290">
        <f>SUM(F27:F32)</f>
        <v>0</v>
      </c>
      <c r="G26" s="168">
        <f t="shared" ref="G26:BL26" si="10">SUM(G27:G32)</f>
        <v>0</v>
      </c>
      <c r="H26" s="290"/>
      <c r="I26" s="168">
        <f t="shared" si="10"/>
        <v>0</v>
      </c>
      <c r="J26" s="168">
        <f t="shared" si="10"/>
        <v>0</v>
      </c>
      <c r="K26" s="168">
        <f t="shared" si="10"/>
        <v>0</v>
      </c>
      <c r="L26" s="290"/>
      <c r="M26" s="168">
        <f t="shared" si="10"/>
        <v>0</v>
      </c>
      <c r="N26" s="168">
        <f t="shared" si="10"/>
        <v>0</v>
      </c>
      <c r="O26" s="168">
        <f t="shared" si="10"/>
        <v>0</v>
      </c>
      <c r="P26" s="168">
        <f t="shared" si="10"/>
        <v>0</v>
      </c>
      <c r="Q26" s="290">
        <f t="shared" si="10"/>
        <v>0</v>
      </c>
      <c r="R26" s="290">
        <f t="shared" si="10"/>
        <v>0</v>
      </c>
      <c r="S26" s="290">
        <f t="shared" si="10"/>
        <v>0</v>
      </c>
      <c r="T26" s="290">
        <f t="shared" si="10"/>
        <v>0</v>
      </c>
      <c r="U26" s="290">
        <f t="shared" si="10"/>
        <v>0</v>
      </c>
      <c r="V26" s="290">
        <f t="shared" si="10"/>
        <v>0</v>
      </c>
      <c r="W26" s="168">
        <f t="shared" si="10"/>
        <v>0</v>
      </c>
      <c r="X26" s="168">
        <f t="shared" si="10"/>
        <v>0</v>
      </c>
      <c r="Y26" s="168">
        <f t="shared" si="10"/>
        <v>0</v>
      </c>
      <c r="Z26" s="168">
        <f t="shared" si="10"/>
        <v>0</v>
      </c>
      <c r="AA26" s="168">
        <f t="shared" si="10"/>
        <v>0</v>
      </c>
      <c r="AB26" s="168">
        <f t="shared" si="10"/>
        <v>0</v>
      </c>
      <c r="AC26" s="168">
        <f t="shared" si="10"/>
        <v>0</v>
      </c>
      <c r="AD26" s="168">
        <f t="shared" si="10"/>
        <v>0</v>
      </c>
      <c r="AE26" s="168">
        <f t="shared" si="10"/>
        <v>0</v>
      </c>
      <c r="AF26" s="168">
        <f t="shared" si="10"/>
        <v>0</v>
      </c>
      <c r="AG26" s="168">
        <f t="shared" si="10"/>
        <v>0</v>
      </c>
      <c r="AH26" s="168">
        <f t="shared" si="10"/>
        <v>0</v>
      </c>
      <c r="AI26" s="290">
        <f t="shared" si="10"/>
        <v>0</v>
      </c>
      <c r="AJ26" s="290">
        <f t="shared" si="10"/>
        <v>0</v>
      </c>
      <c r="AK26" s="290">
        <f t="shared" si="10"/>
        <v>0</v>
      </c>
      <c r="AL26" s="290">
        <f t="shared" si="10"/>
        <v>0</v>
      </c>
      <c r="AM26" s="290">
        <f t="shared" si="10"/>
        <v>0</v>
      </c>
      <c r="AN26" s="290">
        <f t="shared" si="10"/>
        <v>0</v>
      </c>
      <c r="AO26" s="168">
        <f t="shared" si="10"/>
        <v>0</v>
      </c>
      <c r="AP26" s="168">
        <f t="shared" si="10"/>
        <v>0</v>
      </c>
      <c r="AQ26" s="168">
        <f t="shared" si="10"/>
        <v>0</v>
      </c>
      <c r="AR26" s="168">
        <f t="shared" si="10"/>
        <v>0</v>
      </c>
      <c r="AS26" s="168">
        <f t="shared" si="10"/>
        <v>0</v>
      </c>
      <c r="AT26" s="168">
        <f t="shared" si="10"/>
        <v>0</v>
      </c>
      <c r="AU26" s="168">
        <f t="shared" si="10"/>
        <v>0</v>
      </c>
      <c r="AV26" s="168">
        <f t="shared" si="10"/>
        <v>0</v>
      </c>
      <c r="AW26" s="168">
        <f t="shared" si="10"/>
        <v>0</v>
      </c>
      <c r="AX26" s="168">
        <f t="shared" si="10"/>
        <v>0</v>
      </c>
      <c r="AY26" s="168">
        <f t="shared" si="10"/>
        <v>0</v>
      </c>
      <c r="AZ26" s="168">
        <f t="shared" si="10"/>
        <v>0</v>
      </c>
      <c r="BA26" s="168">
        <f t="shared" si="10"/>
        <v>0</v>
      </c>
      <c r="BB26" s="168">
        <f t="shared" si="10"/>
        <v>0</v>
      </c>
      <c r="BC26" s="168">
        <f t="shared" si="10"/>
        <v>0</v>
      </c>
      <c r="BD26" s="168">
        <f t="shared" si="10"/>
        <v>0</v>
      </c>
      <c r="BE26" s="168">
        <f t="shared" si="10"/>
        <v>0</v>
      </c>
      <c r="BF26" s="168">
        <f t="shared" si="10"/>
        <v>0</v>
      </c>
      <c r="BG26" s="168">
        <f t="shared" si="10"/>
        <v>0</v>
      </c>
      <c r="BH26" s="168">
        <f t="shared" si="10"/>
        <v>0</v>
      </c>
      <c r="BI26" s="168">
        <f t="shared" si="10"/>
        <v>0</v>
      </c>
      <c r="BJ26" s="168">
        <f t="shared" si="10"/>
        <v>0</v>
      </c>
      <c r="BK26" s="168">
        <f t="shared" si="10"/>
        <v>0</v>
      </c>
      <c r="BL26" s="168">
        <f t="shared" si="10"/>
        <v>0</v>
      </c>
    </row>
    <row r="27" spans="1:64" ht="13.5" hidden="1" customHeight="1" x14ac:dyDescent="0.2">
      <c r="A27" s="57" t="s">
        <v>161</v>
      </c>
      <c r="B27" s="58" t="s">
        <v>163</v>
      </c>
      <c r="C27" s="59"/>
      <c r="D27" s="40"/>
      <c r="E27" s="50"/>
      <c r="F27" s="169"/>
      <c r="G27" s="124"/>
      <c r="H27" s="227"/>
      <c r="I27" s="40"/>
      <c r="J27" s="40"/>
      <c r="K27" s="40"/>
      <c r="L27" s="199"/>
      <c r="M27" s="40"/>
      <c r="N27" s="40"/>
      <c r="O27" s="148"/>
      <c r="P27" s="154"/>
      <c r="Q27" s="177"/>
      <c r="R27" s="40"/>
      <c r="S27" s="40"/>
      <c r="T27" s="40"/>
      <c r="U27" s="40"/>
      <c r="V27" s="208"/>
      <c r="W27" s="179"/>
      <c r="X27" s="40"/>
      <c r="Y27" s="40"/>
      <c r="Z27" s="40"/>
      <c r="AA27" s="40"/>
      <c r="AB27" s="208"/>
      <c r="AC27" s="192"/>
      <c r="AD27" s="40"/>
      <c r="AE27" s="40"/>
      <c r="AF27" s="40"/>
      <c r="AG27" s="40"/>
      <c r="AH27" s="208"/>
      <c r="AI27" s="179"/>
      <c r="AJ27" s="40"/>
      <c r="AK27" s="40"/>
      <c r="AL27" s="40"/>
      <c r="AM27" s="40"/>
      <c r="AN27" s="216"/>
      <c r="AO27" s="192"/>
      <c r="AP27" s="40"/>
      <c r="AQ27" s="40"/>
      <c r="AR27" s="40"/>
      <c r="AS27" s="40"/>
      <c r="AT27" s="208"/>
      <c r="AU27" s="192"/>
      <c r="AV27" s="40"/>
      <c r="AW27" s="40"/>
      <c r="AX27" s="40"/>
      <c r="AY27" s="40"/>
      <c r="AZ27" s="208"/>
      <c r="BA27" s="177"/>
      <c r="BB27" s="40"/>
      <c r="BC27" s="40"/>
      <c r="BD27" s="40"/>
      <c r="BE27" s="40"/>
      <c r="BF27" s="208"/>
      <c r="BG27" s="179"/>
      <c r="BH27" s="40"/>
      <c r="BI27" s="40"/>
      <c r="BJ27" s="40"/>
      <c r="BK27" s="40"/>
      <c r="BL27" s="208"/>
    </row>
    <row r="28" spans="1:64" ht="13.5" hidden="1" customHeight="1" x14ac:dyDescent="0.2">
      <c r="A28" s="61" t="s">
        <v>162</v>
      </c>
      <c r="B28" s="62" t="s">
        <v>164</v>
      </c>
      <c r="C28" s="63"/>
      <c r="D28" s="6"/>
      <c r="E28" s="64"/>
      <c r="F28" s="169"/>
      <c r="G28" s="59"/>
      <c r="H28" s="227"/>
      <c r="I28" s="40"/>
      <c r="J28" s="40"/>
      <c r="K28" s="40"/>
      <c r="L28" s="199"/>
      <c r="M28" s="40"/>
      <c r="N28" s="40"/>
      <c r="O28" s="6"/>
      <c r="P28" s="155"/>
      <c r="Q28" s="178"/>
      <c r="R28" s="6"/>
      <c r="S28" s="6"/>
      <c r="T28" s="6"/>
      <c r="U28" s="6"/>
      <c r="V28" s="209"/>
      <c r="W28" s="181"/>
      <c r="X28" s="6"/>
      <c r="Y28" s="6"/>
      <c r="Z28" s="6"/>
      <c r="AA28" s="6"/>
      <c r="AB28" s="209"/>
      <c r="AC28" s="192"/>
      <c r="AD28" s="6"/>
      <c r="AE28" s="6"/>
      <c r="AF28" s="6"/>
      <c r="AG28" s="6"/>
      <c r="AH28" s="209"/>
      <c r="AI28" s="179"/>
      <c r="AJ28" s="6"/>
      <c r="AK28" s="6"/>
      <c r="AL28" s="6"/>
      <c r="AM28" s="6"/>
      <c r="AN28" s="217"/>
      <c r="AO28" s="192"/>
      <c r="AP28" s="6"/>
      <c r="AQ28" s="6"/>
      <c r="AR28" s="6"/>
      <c r="AS28" s="6"/>
      <c r="AT28" s="209"/>
      <c r="AU28" s="192"/>
      <c r="AV28" s="6"/>
      <c r="AW28" s="6"/>
      <c r="AX28" s="6"/>
      <c r="AY28" s="6"/>
      <c r="AZ28" s="209"/>
      <c r="BA28" s="178"/>
      <c r="BB28" s="6"/>
      <c r="BC28" s="6"/>
      <c r="BD28" s="6"/>
      <c r="BE28" s="6"/>
      <c r="BF28" s="209"/>
      <c r="BG28" s="181"/>
      <c r="BH28" s="6"/>
      <c r="BI28" s="6"/>
      <c r="BJ28" s="6"/>
      <c r="BK28" s="6"/>
      <c r="BL28" s="209"/>
    </row>
    <row r="29" spans="1:64" ht="13.5" hidden="1" customHeight="1" x14ac:dyDescent="0.2">
      <c r="A29" s="61"/>
      <c r="B29" s="65"/>
      <c r="C29" s="63"/>
      <c r="D29" s="6"/>
      <c r="E29" s="64"/>
      <c r="F29" s="169"/>
      <c r="G29" s="59"/>
      <c r="H29" s="227"/>
      <c r="I29" s="40"/>
      <c r="J29" s="40"/>
      <c r="K29" s="40"/>
      <c r="L29" s="199"/>
      <c r="M29" s="40"/>
      <c r="N29" s="40"/>
      <c r="O29" s="6"/>
      <c r="P29" s="155"/>
      <c r="Q29" s="178"/>
      <c r="R29" s="6"/>
      <c r="S29" s="6"/>
      <c r="T29" s="6"/>
      <c r="U29" s="6"/>
      <c r="V29" s="209"/>
      <c r="W29" s="181"/>
      <c r="X29" s="6"/>
      <c r="Y29" s="6"/>
      <c r="Z29" s="6"/>
      <c r="AA29" s="6"/>
      <c r="AB29" s="209"/>
      <c r="AC29" s="192"/>
      <c r="AD29" s="6"/>
      <c r="AE29" s="6"/>
      <c r="AF29" s="6"/>
      <c r="AG29" s="6"/>
      <c r="AH29" s="209"/>
      <c r="AI29" s="179"/>
      <c r="AJ29" s="6"/>
      <c r="AK29" s="6"/>
      <c r="AL29" s="6"/>
      <c r="AM29" s="6"/>
      <c r="AN29" s="217"/>
      <c r="AO29" s="192"/>
      <c r="AP29" s="6"/>
      <c r="AQ29" s="6"/>
      <c r="AR29" s="6"/>
      <c r="AS29" s="6"/>
      <c r="AT29" s="209"/>
      <c r="AU29" s="192"/>
      <c r="AV29" s="6"/>
      <c r="AW29" s="6"/>
      <c r="AX29" s="6"/>
      <c r="AY29" s="6"/>
      <c r="AZ29" s="209"/>
      <c r="BA29" s="178"/>
      <c r="BB29" s="6"/>
      <c r="BC29" s="6"/>
      <c r="BD29" s="6"/>
      <c r="BE29" s="6"/>
      <c r="BF29" s="209"/>
      <c r="BG29" s="181"/>
      <c r="BH29" s="6"/>
      <c r="BI29" s="6"/>
      <c r="BJ29" s="6"/>
      <c r="BK29" s="6"/>
      <c r="BL29" s="209"/>
    </row>
    <row r="30" spans="1:64" ht="13.5" hidden="1" customHeight="1" x14ac:dyDescent="0.2">
      <c r="A30" s="61"/>
      <c r="B30" s="65"/>
      <c r="C30" s="66"/>
      <c r="D30" s="6"/>
      <c r="E30" s="64"/>
      <c r="F30" s="169"/>
      <c r="G30" s="59"/>
      <c r="H30" s="227"/>
      <c r="I30" s="40"/>
      <c r="J30" s="40"/>
      <c r="K30" s="40"/>
      <c r="L30" s="199"/>
      <c r="M30" s="40"/>
      <c r="N30" s="40"/>
      <c r="O30" s="6"/>
      <c r="P30" s="155"/>
      <c r="Q30" s="178"/>
      <c r="R30" s="6"/>
      <c r="S30" s="6"/>
      <c r="T30" s="6"/>
      <c r="U30" s="6"/>
      <c r="V30" s="209"/>
      <c r="W30" s="181"/>
      <c r="X30" s="6"/>
      <c r="Y30" s="6"/>
      <c r="Z30" s="6"/>
      <c r="AA30" s="6"/>
      <c r="AB30" s="209"/>
      <c r="AC30" s="192"/>
      <c r="AD30" s="6"/>
      <c r="AE30" s="6"/>
      <c r="AF30" s="6"/>
      <c r="AG30" s="6"/>
      <c r="AH30" s="209"/>
      <c r="AI30" s="179"/>
      <c r="AJ30" s="6"/>
      <c r="AK30" s="6"/>
      <c r="AL30" s="6"/>
      <c r="AM30" s="6"/>
      <c r="AN30" s="217"/>
      <c r="AO30" s="192"/>
      <c r="AP30" s="6"/>
      <c r="AQ30" s="6"/>
      <c r="AR30" s="6"/>
      <c r="AS30" s="6"/>
      <c r="AT30" s="209"/>
      <c r="AU30" s="192"/>
      <c r="AV30" s="6"/>
      <c r="AW30" s="6"/>
      <c r="AX30" s="6"/>
      <c r="AY30" s="6"/>
      <c r="AZ30" s="209"/>
      <c r="BA30" s="178"/>
      <c r="BB30" s="6"/>
      <c r="BC30" s="6"/>
      <c r="BD30" s="6"/>
      <c r="BE30" s="6"/>
      <c r="BF30" s="209"/>
      <c r="BG30" s="181"/>
      <c r="BH30" s="6"/>
      <c r="BI30" s="6"/>
      <c r="BJ30" s="6"/>
      <c r="BK30" s="6"/>
      <c r="BL30" s="209"/>
    </row>
    <row r="31" spans="1:64" ht="13.5" hidden="1" customHeight="1" x14ac:dyDescent="0.2">
      <c r="A31" s="61"/>
      <c r="B31" s="62"/>
      <c r="C31" s="63"/>
      <c r="D31" s="6"/>
      <c r="E31" s="64"/>
      <c r="F31" s="169"/>
      <c r="G31" s="59"/>
      <c r="H31" s="227"/>
      <c r="I31" s="40"/>
      <c r="J31" s="40"/>
      <c r="K31" s="40"/>
      <c r="L31" s="199"/>
      <c r="M31" s="40"/>
      <c r="N31" s="40"/>
      <c r="O31" s="6"/>
      <c r="P31" s="155"/>
      <c r="Q31" s="178"/>
      <c r="R31" s="6"/>
      <c r="S31" s="6"/>
      <c r="T31" s="6"/>
      <c r="U31" s="6"/>
      <c r="V31" s="209"/>
      <c r="W31" s="181"/>
      <c r="X31" s="6"/>
      <c r="Y31" s="6"/>
      <c r="Z31" s="6"/>
      <c r="AA31" s="6"/>
      <c r="AB31" s="209"/>
      <c r="AC31" s="192"/>
      <c r="AD31" s="6"/>
      <c r="AE31" s="6"/>
      <c r="AF31" s="6"/>
      <c r="AG31" s="6"/>
      <c r="AH31" s="209"/>
      <c r="AI31" s="179"/>
      <c r="AJ31" s="6"/>
      <c r="AK31" s="6"/>
      <c r="AL31" s="6"/>
      <c r="AM31" s="6"/>
      <c r="AN31" s="217"/>
      <c r="AO31" s="192"/>
      <c r="AP31" s="6"/>
      <c r="AQ31" s="6"/>
      <c r="AR31" s="6"/>
      <c r="AS31" s="6"/>
      <c r="AT31" s="209"/>
      <c r="AU31" s="192"/>
      <c r="AV31" s="6"/>
      <c r="AW31" s="6"/>
      <c r="AX31" s="6"/>
      <c r="AY31" s="6"/>
      <c r="AZ31" s="209"/>
      <c r="BA31" s="178"/>
      <c r="BB31" s="6"/>
      <c r="BC31" s="6"/>
      <c r="BD31" s="6"/>
      <c r="BE31" s="6"/>
      <c r="BF31" s="209"/>
      <c r="BG31" s="181"/>
      <c r="BH31" s="6"/>
      <c r="BI31" s="6"/>
      <c r="BJ31" s="6"/>
      <c r="BK31" s="6"/>
      <c r="BL31" s="209"/>
    </row>
    <row r="32" spans="1:64" ht="13.5" hidden="1" customHeight="1" thickBot="1" x14ac:dyDescent="0.25">
      <c r="A32" s="61"/>
      <c r="B32" s="67"/>
      <c r="C32" s="133"/>
      <c r="D32" s="43"/>
      <c r="E32" s="111"/>
      <c r="F32" s="170"/>
      <c r="G32" s="275"/>
      <c r="H32" s="228"/>
      <c r="I32" s="120"/>
      <c r="J32" s="120"/>
      <c r="K32" s="120"/>
      <c r="L32" s="200"/>
      <c r="M32" s="43"/>
      <c r="N32" s="43"/>
      <c r="O32" s="43"/>
      <c r="P32" s="276"/>
      <c r="Q32" s="277"/>
      <c r="R32" s="43"/>
      <c r="S32" s="43"/>
      <c r="T32" s="43"/>
      <c r="U32" s="43"/>
      <c r="V32" s="210"/>
      <c r="W32" s="180"/>
      <c r="X32" s="43"/>
      <c r="Y32" s="43"/>
      <c r="Z32" s="43"/>
      <c r="AA32" s="43"/>
      <c r="AB32" s="210"/>
      <c r="AC32" s="193"/>
      <c r="AD32" s="43"/>
      <c r="AE32" s="43"/>
      <c r="AF32" s="43"/>
      <c r="AG32" s="43"/>
      <c r="AH32" s="210"/>
      <c r="AI32" s="182"/>
      <c r="AJ32" s="43"/>
      <c r="AK32" s="43"/>
      <c r="AL32" s="43"/>
      <c r="AM32" s="43"/>
      <c r="AN32" s="218"/>
      <c r="AO32" s="193"/>
      <c r="AP32" s="43"/>
      <c r="AQ32" s="43"/>
      <c r="AR32" s="43"/>
      <c r="AS32" s="43"/>
      <c r="AT32" s="210"/>
      <c r="AU32" s="193"/>
      <c r="AV32" s="43"/>
      <c r="AW32" s="43"/>
      <c r="AX32" s="43"/>
      <c r="AY32" s="43"/>
      <c r="AZ32" s="210"/>
      <c r="BA32" s="277"/>
      <c r="BB32" s="43"/>
      <c r="BC32" s="43"/>
      <c r="BD32" s="43"/>
      <c r="BE32" s="43"/>
      <c r="BF32" s="210"/>
      <c r="BG32" s="180"/>
      <c r="BH32" s="43"/>
      <c r="BI32" s="43"/>
      <c r="BJ32" s="43"/>
      <c r="BK32" s="43"/>
      <c r="BL32" s="210"/>
    </row>
    <row r="33" spans="1:64" ht="13.5" hidden="1" customHeight="1" thickBot="1" x14ac:dyDescent="0.25">
      <c r="A33" s="53" t="s">
        <v>25</v>
      </c>
      <c r="B33" s="87" t="s">
        <v>61</v>
      </c>
      <c r="C33" s="151"/>
      <c r="D33" s="152">
        <v>2</v>
      </c>
      <c r="E33" s="153"/>
      <c r="F33" s="171">
        <f>SUM(F34:F35)</f>
        <v>0</v>
      </c>
      <c r="G33" s="168">
        <f t="shared" ref="G33:BL33" si="11">SUM(G34:G35)</f>
        <v>0</v>
      </c>
      <c r="H33" s="168">
        <f t="shared" si="11"/>
        <v>0</v>
      </c>
      <c r="I33" s="168">
        <f t="shared" si="11"/>
        <v>0</v>
      </c>
      <c r="J33" s="168">
        <f t="shared" si="11"/>
        <v>0</v>
      </c>
      <c r="K33" s="168">
        <f t="shared" si="11"/>
        <v>0</v>
      </c>
      <c r="L33" s="168">
        <f t="shared" si="11"/>
        <v>0</v>
      </c>
      <c r="M33" s="168">
        <f t="shared" si="11"/>
        <v>0</v>
      </c>
      <c r="N33" s="168">
        <f t="shared" si="11"/>
        <v>0</v>
      </c>
      <c r="O33" s="168">
        <f t="shared" si="11"/>
        <v>0</v>
      </c>
      <c r="P33" s="168">
        <f t="shared" si="11"/>
        <v>0</v>
      </c>
      <c r="Q33" s="168">
        <f t="shared" si="11"/>
        <v>0</v>
      </c>
      <c r="R33" s="168">
        <f t="shared" si="11"/>
        <v>0</v>
      </c>
      <c r="S33" s="168">
        <f t="shared" si="11"/>
        <v>0</v>
      </c>
      <c r="T33" s="168">
        <f t="shared" si="11"/>
        <v>0</v>
      </c>
      <c r="U33" s="168">
        <f t="shared" si="11"/>
        <v>0</v>
      </c>
      <c r="V33" s="168">
        <f t="shared" si="11"/>
        <v>0</v>
      </c>
      <c r="W33" s="168">
        <f t="shared" si="11"/>
        <v>0</v>
      </c>
      <c r="X33" s="168">
        <f t="shared" si="11"/>
        <v>0</v>
      </c>
      <c r="Y33" s="168">
        <f t="shared" si="11"/>
        <v>0</v>
      </c>
      <c r="Z33" s="168">
        <f t="shared" si="11"/>
        <v>0</v>
      </c>
      <c r="AA33" s="168">
        <f t="shared" si="11"/>
        <v>0</v>
      </c>
      <c r="AB33" s="168">
        <f t="shared" si="11"/>
        <v>0</v>
      </c>
      <c r="AC33" s="168">
        <f t="shared" si="11"/>
        <v>0</v>
      </c>
      <c r="AD33" s="168">
        <f t="shared" si="11"/>
        <v>0</v>
      </c>
      <c r="AE33" s="168">
        <f t="shared" si="11"/>
        <v>0</v>
      </c>
      <c r="AF33" s="168">
        <f t="shared" si="11"/>
        <v>0</v>
      </c>
      <c r="AG33" s="168">
        <f t="shared" si="11"/>
        <v>0</v>
      </c>
      <c r="AH33" s="168">
        <f t="shared" si="11"/>
        <v>0</v>
      </c>
      <c r="AI33" s="168">
        <f t="shared" si="11"/>
        <v>0</v>
      </c>
      <c r="AJ33" s="168">
        <f t="shared" si="11"/>
        <v>0</v>
      </c>
      <c r="AK33" s="168">
        <f t="shared" si="11"/>
        <v>0</v>
      </c>
      <c r="AL33" s="168">
        <f t="shared" si="11"/>
        <v>0</v>
      </c>
      <c r="AM33" s="168">
        <f t="shared" si="11"/>
        <v>0</v>
      </c>
      <c r="AN33" s="168">
        <f t="shared" si="11"/>
        <v>0</v>
      </c>
      <c r="AO33" s="168">
        <f t="shared" si="11"/>
        <v>0</v>
      </c>
      <c r="AP33" s="168">
        <f t="shared" si="11"/>
        <v>0</v>
      </c>
      <c r="AQ33" s="168">
        <f t="shared" si="11"/>
        <v>0</v>
      </c>
      <c r="AR33" s="168">
        <f t="shared" si="11"/>
        <v>0</v>
      </c>
      <c r="AS33" s="168">
        <f t="shared" si="11"/>
        <v>0</v>
      </c>
      <c r="AT33" s="168">
        <f t="shared" si="11"/>
        <v>0</v>
      </c>
      <c r="AU33" s="168">
        <f t="shared" si="11"/>
        <v>0</v>
      </c>
      <c r="AV33" s="168">
        <f t="shared" si="11"/>
        <v>0</v>
      </c>
      <c r="AW33" s="168">
        <f t="shared" si="11"/>
        <v>0</v>
      </c>
      <c r="AX33" s="168">
        <f t="shared" si="11"/>
        <v>0</v>
      </c>
      <c r="AY33" s="168">
        <f t="shared" si="11"/>
        <v>0</v>
      </c>
      <c r="AZ33" s="168">
        <f t="shared" si="11"/>
        <v>0</v>
      </c>
      <c r="BA33" s="168">
        <f t="shared" si="11"/>
        <v>0</v>
      </c>
      <c r="BB33" s="168">
        <f t="shared" si="11"/>
        <v>0</v>
      </c>
      <c r="BC33" s="168">
        <f t="shared" si="11"/>
        <v>0</v>
      </c>
      <c r="BD33" s="168">
        <f t="shared" si="11"/>
        <v>0</v>
      </c>
      <c r="BE33" s="168">
        <f t="shared" si="11"/>
        <v>0</v>
      </c>
      <c r="BF33" s="168">
        <f t="shared" si="11"/>
        <v>0</v>
      </c>
      <c r="BG33" s="168">
        <f t="shared" si="11"/>
        <v>0</v>
      </c>
      <c r="BH33" s="168">
        <f t="shared" si="11"/>
        <v>0</v>
      </c>
      <c r="BI33" s="168">
        <f t="shared" si="11"/>
        <v>0</v>
      </c>
      <c r="BJ33" s="168">
        <f t="shared" si="11"/>
        <v>0</v>
      </c>
      <c r="BK33" s="168">
        <f t="shared" si="11"/>
        <v>0</v>
      </c>
      <c r="BL33" s="168">
        <f t="shared" si="11"/>
        <v>0</v>
      </c>
    </row>
    <row r="34" spans="1:64" ht="13.5" hidden="1" customHeight="1" x14ac:dyDescent="0.2">
      <c r="A34" s="57"/>
      <c r="B34" s="131"/>
      <c r="C34" s="129"/>
      <c r="D34" s="121"/>
      <c r="E34" s="107"/>
      <c r="F34" s="172"/>
      <c r="G34" s="69"/>
      <c r="H34" s="229"/>
      <c r="I34" s="12"/>
      <c r="J34" s="12"/>
      <c r="K34" s="12"/>
      <c r="L34" s="199"/>
      <c r="M34" s="12"/>
      <c r="N34" s="12"/>
      <c r="O34" s="12"/>
      <c r="P34" s="80"/>
      <c r="Q34" s="179"/>
      <c r="R34" s="40"/>
      <c r="S34" s="40"/>
      <c r="T34" s="40"/>
      <c r="U34" s="40"/>
      <c r="V34" s="208"/>
      <c r="W34" s="179"/>
      <c r="X34" s="40"/>
      <c r="Y34" s="40"/>
      <c r="Z34" s="40"/>
      <c r="AA34" s="40"/>
      <c r="AB34" s="199"/>
      <c r="AC34" s="192"/>
      <c r="AD34" s="40"/>
      <c r="AE34" s="40"/>
      <c r="AF34" s="40"/>
      <c r="AG34" s="40"/>
      <c r="AH34" s="208"/>
      <c r="AI34" s="179"/>
      <c r="AJ34" s="40"/>
      <c r="AK34" s="40"/>
      <c r="AL34" s="40"/>
      <c r="AM34" s="40"/>
      <c r="AN34" s="208"/>
      <c r="AO34" s="179"/>
      <c r="AP34" s="40"/>
      <c r="AQ34" s="40"/>
      <c r="AR34" s="40"/>
      <c r="AS34" s="40"/>
      <c r="AT34" s="208"/>
      <c r="AU34" s="179"/>
      <c r="AV34" s="40"/>
      <c r="AW34" s="40"/>
      <c r="AX34" s="40"/>
      <c r="AY34" s="40"/>
      <c r="AZ34" s="208"/>
      <c r="BA34" s="179"/>
      <c r="BB34" s="40"/>
      <c r="BC34" s="40"/>
      <c r="BD34" s="40"/>
      <c r="BE34" s="40"/>
      <c r="BF34" s="208"/>
      <c r="BG34" s="179"/>
      <c r="BH34" s="40"/>
      <c r="BI34" s="40"/>
      <c r="BJ34" s="40"/>
      <c r="BK34" s="40"/>
      <c r="BL34" s="199"/>
    </row>
    <row r="35" spans="1:64" ht="13.5" hidden="1" customHeight="1" thickBot="1" x14ac:dyDescent="0.25">
      <c r="A35" s="85"/>
      <c r="B35" s="132"/>
      <c r="C35" s="71"/>
      <c r="D35" s="12"/>
      <c r="E35" s="80"/>
      <c r="F35" s="169"/>
      <c r="G35" s="69"/>
      <c r="H35" s="229"/>
      <c r="I35" s="39"/>
      <c r="J35" s="39"/>
      <c r="K35" s="39"/>
      <c r="L35" s="200"/>
      <c r="M35" s="39"/>
      <c r="N35" s="39"/>
      <c r="O35" s="39"/>
      <c r="P35" s="83"/>
      <c r="Q35" s="180"/>
      <c r="R35" s="43"/>
      <c r="S35" s="43"/>
      <c r="T35" s="43"/>
      <c r="U35" s="43"/>
      <c r="V35" s="210"/>
      <c r="W35" s="180"/>
      <c r="X35" s="43"/>
      <c r="Y35" s="43"/>
      <c r="Z35" s="43"/>
      <c r="AA35" s="43"/>
      <c r="AB35" s="461"/>
      <c r="AC35" s="193"/>
      <c r="AD35" s="43"/>
      <c r="AE35" s="43"/>
      <c r="AF35" s="43"/>
      <c r="AG35" s="43"/>
      <c r="AH35" s="210"/>
      <c r="AI35" s="182"/>
      <c r="AJ35" s="43"/>
      <c r="AK35" s="43"/>
      <c r="AL35" s="43"/>
      <c r="AM35" s="43"/>
      <c r="AN35" s="218"/>
      <c r="AO35" s="297"/>
      <c r="AP35" s="43"/>
      <c r="AQ35" s="43"/>
      <c r="AR35" s="43"/>
      <c r="AS35" s="43"/>
      <c r="AT35" s="210"/>
      <c r="AU35" s="182"/>
      <c r="AV35" s="43"/>
      <c r="AW35" s="43"/>
      <c r="AX35" s="43"/>
      <c r="AY35" s="43"/>
      <c r="AZ35" s="210"/>
      <c r="BA35" s="180"/>
      <c r="BB35" s="43"/>
      <c r="BC35" s="43"/>
      <c r="BD35" s="43"/>
      <c r="BE35" s="43"/>
      <c r="BF35" s="210"/>
      <c r="BG35" s="180"/>
      <c r="BH35" s="43"/>
      <c r="BI35" s="43"/>
      <c r="BJ35" s="43"/>
      <c r="BK35" s="43"/>
      <c r="BL35" s="461"/>
    </row>
    <row r="36" spans="1:64" ht="18.75" customHeight="1" thickBot="1" x14ac:dyDescent="0.25">
      <c r="A36" s="88" t="s">
        <v>11</v>
      </c>
      <c r="B36" s="75" t="s">
        <v>62</v>
      </c>
      <c r="C36" s="68">
        <v>2</v>
      </c>
      <c r="D36" s="41">
        <v>14</v>
      </c>
      <c r="E36" s="48"/>
      <c r="F36" s="505">
        <f>SUM(F37:F49)</f>
        <v>995</v>
      </c>
      <c r="G36" s="505">
        <f t="shared" ref="G36:BK36" si="12">SUM(G37:G49)</f>
        <v>15</v>
      </c>
      <c r="H36" s="506">
        <f>SUM(H37:H49)</f>
        <v>980</v>
      </c>
      <c r="I36" s="68">
        <f t="shared" si="12"/>
        <v>16</v>
      </c>
      <c r="J36" s="41">
        <f t="shared" si="12"/>
        <v>14</v>
      </c>
      <c r="K36" s="41">
        <f t="shared" si="12"/>
        <v>0</v>
      </c>
      <c r="L36" s="41">
        <f t="shared" si="12"/>
        <v>958</v>
      </c>
      <c r="M36" s="41">
        <f t="shared" si="12"/>
        <v>484</v>
      </c>
      <c r="N36" s="41">
        <f t="shared" si="12"/>
        <v>474</v>
      </c>
      <c r="O36" s="41">
        <f t="shared" si="12"/>
        <v>0</v>
      </c>
      <c r="P36" s="41">
        <f t="shared" si="12"/>
        <v>0</v>
      </c>
      <c r="Q36" s="41">
        <f t="shared" si="12"/>
        <v>34</v>
      </c>
      <c r="R36" s="41">
        <f t="shared" si="12"/>
        <v>0</v>
      </c>
      <c r="S36" s="41">
        <f t="shared" si="12"/>
        <v>0</v>
      </c>
      <c r="T36" s="41">
        <f t="shared" si="12"/>
        <v>0</v>
      </c>
      <c r="U36" s="41">
        <f t="shared" si="12"/>
        <v>0</v>
      </c>
      <c r="V36" s="41">
        <f t="shared" si="12"/>
        <v>34</v>
      </c>
      <c r="W36" s="41">
        <f t="shared" si="12"/>
        <v>192</v>
      </c>
      <c r="X36" s="41">
        <f t="shared" si="12"/>
        <v>0</v>
      </c>
      <c r="Y36" s="41">
        <f t="shared" si="12"/>
        <v>0</v>
      </c>
      <c r="Z36" s="41">
        <f t="shared" si="12"/>
        <v>0</v>
      </c>
      <c r="AA36" s="41">
        <f t="shared" si="12"/>
        <v>0</v>
      </c>
      <c r="AB36" s="41">
        <f>SUM(AB37:AB47)</f>
        <v>192</v>
      </c>
      <c r="AC36" s="41">
        <f t="shared" si="12"/>
        <v>228</v>
      </c>
      <c r="AD36" s="41">
        <f t="shared" si="12"/>
        <v>0</v>
      </c>
      <c r="AE36" s="41">
        <f t="shared" si="12"/>
        <v>8</v>
      </c>
      <c r="AF36" s="41">
        <f t="shared" si="12"/>
        <v>2</v>
      </c>
      <c r="AG36" s="41">
        <f t="shared" si="12"/>
        <v>0</v>
      </c>
      <c r="AH36" s="41">
        <f>SUM(AH37:AH47)</f>
        <v>218</v>
      </c>
      <c r="AI36" s="41">
        <f t="shared" si="12"/>
        <v>216</v>
      </c>
      <c r="AJ36" s="41">
        <f t="shared" si="12"/>
        <v>6</v>
      </c>
      <c r="AK36" s="41">
        <f t="shared" si="12"/>
        <v>8</v>
      </c>
      <c r="AL36" s="41">
        <f t="shared" si="12"/>
        <v>4</v>
      </c>
      <c r="AM36" s="41">
        <f t="shared" si="12"/>
        <v>0</v>
      </c>
      <c r="AN36" s="41">
        <f>SUM(AN37:AN49)</f>
        <v>198</v>
      </c>
      <c r="AO36" s="41">
        <f t="shared" si="12"/>
        <v>56</v>
      </c>
      <c r="AP36" s="41">
        <f t="shared" si="12"/>
        <v>0</v>
      </c>
      <c r="AQ36" s="41">
        <f t="shared" si="12"/>
        <v>0</v>
      </c>
      <c r="AR36" s="41">
        <f t="shared" si="12"/>
        <v>0</v>
      </c>
      <c r="AS36" s="41">
        <f t="shared" si="12"/>
        <v>0</v>
      </c>
      <c r="AT36" s="41">
        <f t="shared" si="12"/>
        <v>56</v>
      </c>
      <c r="AU36" s="41">
        <f t="shared" si="12"/>
        <v>48</v>
      </c>
      <c r="AV36" s="41">
        <f t="shared" si="12"/>
        <v>0</v>
      </c>
      <c r="AW36" s="41">
        <f t="shared" si="12"/>
        <v>0</v>
      </c>
      <c r="AX36" s="41">
        <f t="shared" si="12"/>
        <v>0</v>
      </c>
      <c r="AY36" s="41">
        <f t="shared" si="12"/>
        <v>0</v>
      </c>
      <c r="AZ36" s="41">
        <f t="shared" si="12"/>
        <v>48</v>
      </c>
      <c r="BA36" s="41">
        <f t="shared" si="12"/>
        <v>56</v>
      </c>
      <c r="BB36" s="41">
        <f t="shared" si="12"/>
        <v>0</v>
      </c>
      <c r="BC36" s="41">
        <f t="shared" si="12"/>
        <v>0</v>
      </c>
      <c r="BD36" s="41">
        <f t="shared" si="12"/>
        <v>0</v>
      </c>
      <c r="BE36" s="41">
        <f t="shared" si="12"/>
        <v>0</v>
      </c>
      <c r="BF36" s="41">
        <f t="shared" si="12"/>
        <v>56</v>
      </c>
      <c r="BG36" s="41">
        <f t="shared" si="12"/>
        <v>165</v>
      </c>
      <c r="BH36" s="41">
        <f t="shared" si="12"/>
        <v>9</v>
      </c>
      <c r="BI36" s="41">
        <f t="shared" si="12"/>
        <v>0</v>
      </c>
      <c r="BJ36" s="41">
        <f t="shared" si="12"/>
        <v>0</v>
      </c>
      <c r="BK36" s="41">
        <f t="shared" si="12"/>
        <v>0</v>
      </c>
      <c r="BL36" s="507">
        <f>SUM(BL37:BL47)</f>
        <v>156</v>
      </c>
    </row>
    <row r="37" spans="1:64" ht="15.75" x14ac:dyDescent="0.2">
      <c r="A37" s="15" t="s">
        <v>12</v>
      </c>
      <c r="B37" s="131" t="s">
        <v>165</v>
      </c>
      <c r="C37" s="49"/>
      <c r="D37" s="40">
        <v>2</v>
      </c>
      <c r="E37" s="50"/>
      <c r="F37" s="172">
        <v>82</v>
      </c>
      <c r="G37" s="430"/>
      <c r="H37" s="434">
        <f>SUM(Q37+W37+AC37+AI37+AO37+AU37+BA37+BG37)</f>
        <v>82</v>
      </c>
      <c r="I37" s="49"/>
      <c r="J37" s="40"/>
      <c r="K37" s="50"/>
      <c r="L37" s="427">
        <f>SUM(V37+AB37+AH37+AN37+AT37+AZ37+BF37+BL37)</f>
        <v>82</v>
      </c>
      <c r="M37" s="49">
        <v>82</v>
      </c>
      <c r="N37" s="40"/>
      <c r="O37" s="40"/>
      <c r="P37" s="70"/>
      <c r="Q37" s="192">
        <v>34</v>
      </c>
      <c r="R37" s="40"/>
      <c r="S37" s="40"/>
      <c r="T37" s="40"/>
      <c r="U37" s="40"/>
      <c r="V37" s="208">
        <v>34</v>
      </c>
      <c r="W37" s="179">
        <v>48</v>
      </c>
      <c r="X37" s="40"/>
      <c r="Y37" s="40"/>
      <c r="Z37" s="40"/>
      <c r="AA37" s="40"/>
      <c r="AB37" s="199">
        <v>48</v>
      </c>
      <c r="AC37" s="192"/>
      <c r="AD37" s="40"/>
      <c r="AE37" s="40"/>
      <c r="AF37" s="40"/>
      <c r="AG37" s="40"/>
      <c r="AH37" s="208"/>
      <c r="AI37" s="179"/>
      <c r="AJ37" s="40"/>
      <c r="AK37" s="40"/>
      <c r="AL37" s="40"/>
      <c r="AM37" s="40"/>
      <c r="AN37" s="216"/>
      <c r="AO37" s="192"/>
      <c r="AP37" s="40"/>
      <c r="AQ37" s="40"/>
      <c r="AR37" s="40"/>
      <c r="AS37" s="40"/>
      <c r="AT37" s="208"/>
      <c r="AU37" s="192"/>
      <c r="AV37" s="40"/>
      <c r="AW37" s="40"/>
      <c r="AX37" s="40"/>
      <c r="AY37" s="40"/>
      <c r="AZ37" s="208"/>
      <c r="BA37" s="192"/>
      <c r="BB37" s="40"/>
      <c r="BC37" s="40"/>
      <c r="BD37" s="40"/>
      <c r="BE37" s="40"/>
      <c r="BF37" s="208"/>
      <c r="BG37" s="179"/>
      <c r="BH37" s="40"/>
      <c r="BI37" s="40"/>
      <c r="BJ37" s="40"/>
      <c r="BK37" s="40"/>
      <c r="BL37" s="199"/>
    </row>
    <row r="38" spans="1:64" ht="15.75" x14ac:dyDescent="0.2">
      <c r="A38" s="15" t="s">
        <v>13</v>
      </c>
      <c r="B38" s="134" t="s">
        <v>16</v>
      </c>
      <c r="C38" s="49"/>
      <c r="D38" s="40">
        <v>3</v>
      </c>
      <c r="E38" s="50"/>
      <c r="F38" s="169">
        <v>36</v>
      </c>
      <c r="G38" s="430"/>
      <c r="H38" s="435">
        <f t="shared" ref="H38:H44" si="13">SUM(Q38+W38+AC38+AI38+AO38+AU38+BA38+BG38)</f>
        <v>36</v>
      </c>
      <c r="I38" s="49"/>
      <c r="J38" s="40"/>
      <c r="K38" s="50"/>
      <c r="L38" s="428">
        <f t="shared" ref="L38:L46" si="14">SUM(V38+AB38+AH38+AN38+AT38+AZ38+BF38+BL38)</f>
        <v>36</v>
      </c>
      <c r="M38" s="49">
        <v>36</v>
      </c>
      <c r="N38" s="40"/>
      <c r="O38" s="40"/>
      <c r="P38" s="82"/>
      <c r="Q38" s="192"/>
      <c r="R38" s="40"/>
      <c r="S38" s="40"/>
      <c r="T38" s="40"/>
      <c r="U38" s="40"/>
      <c r="V38" s="208"/>
      <c r="W38" s="179"/>
      <c r="X38" s="40"/>
      <c r="Y38" s="40"/>
      <c r="Z38" s="40"/>
      <c r="AA38" s="40"/>
      <c r="AB38" s="199"/>
      <c r="AC38" s="192">
        <v>36</v>
      </c>
      <c r="AD38" s="40"/>
      <c r="AE38" s="40"/>
      <c r="AF38" s="40"/>
      <c r="AG38" s="40"/>
      <c r="AH38" s="208">
        <v>36</v>
      </c>
      <c r="AI38" s="179"/>
      <c r="AJ38" s="40"/>
      <c r="AK38" s="40"/>
      <c r="AL38" s="40"/>
      <c r="AM38" s="40"/>
      <c r="AN38" s="216"/>
      <c r="AO38" s="192"/>
      <c r="AP38" s="40"/>
      <c r="AQ38" s="40"/>
      <c r="AR38" s="40"/>
      <c r="AS38" s="40"/>
      <c r="AT38" s="208"/>
      <c r="AU38" s="192"/>
      <c r="AV38" s="40"/>
      <c r="AW38" s="40"/>
      <c r="AX38" s="40"/>
      <c r="AY38" s="40"/>
      <c r="AZ38" s="208"/>
      <c r="BA38" s="179"/>
      <c r="BB38" s="40"/>
      <c r="BC38" s="40"/>
      <c r="BD38" s="40"/>
      <c r="BE38" s="40"/>
      <c r="BF38" s="208"/>
      <c r="BG38" s="179"/>
      <c r="BH38" s="40"/>
      <c r="BI38" s="40"/>
      <c r="BJ38" s="40"/>
      <c r="BK38" s="40"/>
      <c r="BL38" s="199"/>
    </row>
    <row r="39" spans="1:64" ht="15.75" x14ac:dyDescent="0.2">
      <c r="A39" s="15" t="s">
        <v>14</v>
      </c>
      <c r="B39" s="135" t="s">
        <v>166</v>
      </c>
      <c r="C39" s="49"/>
      <c r="D39" s="40">
        <v>2</v>
      </c>
      <c r="E39" s="50"/>
      <c r="F39" s="169">
        <v>72</v>
      </c>
      <c r="G39" s="430"/>
      <c r="H39" s="435">
        <f t="shared" si="13"/>
        <v>72</v>
      </c>
      <c r="I39" s="49"/>
      <c r="J39" s="40"/>
      <c r="K39" s="50"/>
      <c r="L39" s="428">
        <f t="shared" si="14"/>
        <v>72</v>
      </c>
      <c r="M39" s="49">
        <v>72</v>
      </c>
      <c r="N39" s="40"/>
      <c r="O39" s="40"/>
      <c r="P39" s="80"/>
      <c r="Q39" s="192"/>
      <c r="R39" s="40"/>
      <c r="S39" s="40"/>
      <c r="T39" s="40"/>
      <c r="U39" s="40"/>
      <c r="V39" s="208"/>
      <c r="W39" s="179">
        <v>72</v>
      </c>
      <c r="X39" s="40"/>
      <c r="Y39" s="40"/>
      <c r="Z39" s="40"/>
      <c r="AA39" s="40"/>
      <c r="AB39" s="199">
        <v>72</v>
      </c>
      <c r="AC39" s="192"/>
      <c r="AD39" s="40"/>
      <c r="AE39" s="40"/>
      <c r="AF39" s="40"/>
      <c r="AG39" s="40"/>
      <c r="AH39" s="208"/>
      <c r="AI39" s="179"/>
      <c r="AJ39" s="40"/>
      <c r="AK39" s="40"/>
      <c r="AL39" s="40"/>
      <c r="AM39" s="40"/>
      <c r="AN39" s="216"/>
      <c r="AO39" s="192"/>
      <c r="AP39" s="40"/>
      <c r="AQ39" s="40"/>
      <c r="AR39" s="40"/>
      <c r="AS39" s="40"/>
      <c r="AT39" s="208"/>
      <c r="AU39" s="192"/>
      <c r="AV39" s="40"/>
      <c r="AW39" s="40"/>
      <c r="AX39" s="40"/>
      <c r="AY39" s="40"/>
      <c r="AZ39" s="208"/>
      <c r="BA39" s="179"/>
      <c r="BB39" s="40"/>
      <c r="BC39" s="40"/>
      <c r="BD39" s="40"/>
      <c r="BE39" s="40"/>
      <c r="BF39" s="208"/>
      <c r="BG39" s="179"/>
      <c r="BH39" s="40"/>
      <c r="BI39" s="40"/>
      <c r="BJ39" s="40"/>
      <c r="BK39" s="40"/>
      <c r="BL39" s="199"/>
    </row>
    <row r="40" spans="1:64" ht="15.75" x14ac:dyDescent="0.2">
      <c r="A40" s="15" t="s">
        <v>15</v>
      </c>
      <c r="B40" s="134" t="s">
        <v>167</v>
      </c>
      <c r="C40" s="49">
        <v>3</v>
      </c>
      <c r="D40" s="40"/>
      <c r="E40" s="50"/>
      <c r="F40" s="169">
        <v>130</v>
      </c>
      <c r="G40" s="430"/>
      <c r="H40" s="435">
        <f t="shared" si="13"/>
        <v>130</v>
      </c>
      <c r="I40" s="49">
        <v>8</v>
      </c>
      <c r="J40" s="40">
        <v>10</v>
      </c>
      <c r="K40" s="50"/>
      <c r="L40" s="428">
        <f t="shared" si="14"/>
        <v>120</v>
      </c>
      <c r="M40" s="49">
        <v>120</v>
      </c>
      <c r="N40" s="40"/>
      <c r="O40" s="40"/>
      <c r="P40" s="80"/>
      <c r="Q40" s="192"/>
      <c r="R40" s="40"/>
      <c r="S40" s="40"/>
      <c r="T40" s="40"/>
      <c r="U40" s="40"/>
      <c r="V40" s="208"/>
      <c r="W40" s="179">
        <v>72</v>
      </c>
      <c r="X40" s="40"/>
      <c r="Y40" s="40"/>
      <c r="Z40" s="40"/>
      <c r="AA40" s="40"/>
      <c r="AB40" s="199">
        <v>72</v>
      </c>
      <c r="AC40" s="192">
        <v>58</v>
      </c>
      <c r="AD40" s="40"/>
      <c r="AE40" s="40">
        <v>8</v>
      </c>
      <c r="AF40" s="40">
        <v>2</v>
      </c>
      <c r="AG40" s="40"/>
      <c r="AH40" s="208">
        <v>48</v>
      </c>
      <c r="AI40" s="179"/>
      <c r="AJ40" s="40"/>
      <c r="AK40" s="40"/>
      <c r="AL40" s="40"/>
      <c r="AM40" s="40"/>
      <c r="AN40" s="216"/>
      <c r="AO40" s="192"/>
      <c r="AP40" s="40"/>
      <c r="AQ40" s="40"/>
      <c r="AR40" s="40"/>
      <c r="AS40" s="40"/>
      <c r="AT40" s="208"/>
      <c r="AU40" s="335"/>
      <c r="AV40" s="40"/>
      <c r="AW40" s="40"/>
      <c r="AX40" s="40"/>
      <c r="AY40" s="40"/>
      <c r="AZ40" s="208"/>
      <c r="BA40" s="179"/>
      <c r="BB40" s="40"/>
      <c r="BC40" s="40"/>
      <c r="BD40" s="40"/>
      <c r="BE40" s="40"/>
      <c r="BF40" s="208"/>
      <c r="BG40" s="179"/>
      <c r="BH40" s="40"/>
      <c r="BI40" s="40"/>
      <c r="BJ40" s="40"/>
      <c r="BK40" s="40"/>
      <c r="BL40" s="199"/>
    </row>
    <row r="41" spans="1:64" ht="15.75" customHeight="1" x14ac:dyDescent="0.2">
      <c r="A41" s="15" t="s">
        <v>33</v>
      </c>
      <c r="B41" s="136" t="s">
        <v>168</v>
      </c>
      <c r="C41" s="49"/>
      <c r="D41" s="40">
        <v>8</v>
      </c>
      <c r="E41" s="50"/>
      <c r="F41" s="169">
        <v>56</v>
      </c>
      <c r="G41" s="431">
        <v>4</v>
      </c>
      <c r="H41" s="435">
        <v>52</v>
      </c>
      <c r="I41" s="52"/>
      <c r="J41" s="12"/>
      <c r="K41" s="70"/>
      <c r="L41" s="428">
        <f t="shared" si="14"/>
        <v>52</v>
      </c>
      <c r="M41" s="52">
        <v>52</v>
      </c>
      <c r="N41" s="12"/>
      <c r="O41" s="12"/>
      <c r="P41" s="80"/>
      <c r="Q41" s="192"/>
      <c r="R41" s="40"/>
      <c r="S41" s="40"/>
      <c r="T41" s="40"/>
      <c r="U41" s="40"/>
      <c r="V41" s="208"/>
      <c r="W41" s="179"/>
      <c r="X41" s="40"/>
      <c r="Y41" s="40"/>
      <c r="Z41" s="40"/>
      <c r="AA41" s="40"/>
      <c r="AB41" s="199"/>
      <c r="AC41" s="192"/>
      <c r="AD41" s="40"/>
      <c r="AE41" s="40"/>
      <c r="AF41" s="40"/>
      <c r="AG41" s="40"/>
      <c r="AH41" s="208"/>
      <c r="AI41" s="179"/>
      <c r="AJ41" s="40"/>
      <c r="AK41" s="40"/>
      <c r="AL41" s="40"/>
      <c r="AM41" s="40"/>
      <c r="AN41" s="216"/>
      <c r="AO41" s="192"/>
      <c r="AP41" s="40"/>
      <c r="AQ41" s="40"/>
      <c r="AR41" s="40"/>
      <c r="AS41" s="40"/>
      <c r="AT41" s="208"/>
      <c r="AU41" s="192"/>
      <c r="AV41" s="40"/>
      <c r="AW41" s="40"/>
      <c r="AX41" s="40"/>
      <c r="AY41" s="40"/>
      <c r="AZ41" s="208"/>
      <c r="BA41" s="179"/>
      <c r="BB41" s="40"/>
      <c r="BC41" s="40"/>
      <c r="BD41" s="40"/>
      <c r="BE41" s="40"/>
      <c r="BF41" s="208"/>
      <c r="BG41" s="179">
        <v>56</v>
      </c>
      <c r="BH41" s="40">
        <v>4</v>
      </c>
      <c r="BI41" s="40"/>
      <c r="BJ41" s="40"/>
      <c r="BK41" s="40"/>
      <c r="BL41" s="199">
        <v>52</v>
      </c>
    </row>
    <row r="42" spans="1:64" ht="15.75" x14ac:dyDescent="0.2">
      <c r="A42" s="15" t="s">
        <v>34</v>
      </c>
      <c r="B42" s="135" t="s">
        <v>169</v>
      </c>
      <c r="C42" s="49"/>
      <c r="D42" s="40" t="s">
        <v>204</v>
      </c>
      <c r="E42" s="50"/>
      <c r="F42" s="169">
        <v>248</v>
      </c>
      <c r="G42" s="431"/>
      <c r="H42" s="435">
        <f t="shared" si="13"/>
        <v>248</v>
      </c>
      <c r="I42" s="52"/>
      <c r="J42" s="12"/>
      <c r="K42" s="70"/>
      <c r="L42" s="428">
        <f t="shared" si="14"/>
        <v>248</v>
      </c>
      <c r="M42" s="52"/>
      <c r="N42" s="12">
        <v>248</v>
      </c>
      <c r="O42" s="12"/>
      <c r="P42" s="80"/>
      <c r="Q42" s="192"/>
      <c r="R42" s="40"/>
      <c r="S42" s="40"/>
      <c r="T42" s="40"/>
      <c r="U42" s="40"/>
      <c r="V42" s="208"/>
      <c r="W42" s="179"/>
      <c r="X42" s="40"/>
      <c r="Y42" s="40"/>
      <c r="Z42" s="40"/>
      <c r="AA42" s="40"/>
      <c r="AB42" s="199"/>
      <c r="AC42" s="192">
        <v>54</v>
      </c>
      <c r="AD42" s="40"/>
      <c r="AE42" s="40"/>
      <c r="AF42" s="40"/>
      <c r="AG42" s="40"/>
      <c r="AH42" s="208">
        <v>54</v>
      </c>
      <c r="AI42" s="216">
        <v>88</v>
      </c>
      <c r="AJ42" s="40"/>
      <c r="AK42" s="40"/>
      <c r="AL42" s="40"/>
      <c r="AM42" s="40"/>
      <c r="AN42" s="216">
        <v>88</v>
      </c>
      <c r="AO42" s="192">
        <v>28</v>
      </c>
      <c r="AP42" s="40"/>
      <c r="AQ42" s="40"/>
      <c r="AR42" s="40"/>
      <c r="AS42" s="40"/>
      <c r="AT42" s="208">
        <v>28</v>
      </c>
      <c r="AU42" s="192">
        <v>24</v>
      </c>
      <c r="AV42" s="40"/>
      <c r="AW42" s="40"/>
      <c r="AX42" s="40"/>
      <c r="AY42" s="40"/>
      <c r="AZ42" s="208">
        <v>24</v>
      </c>
      <c r="BA42" s="179">
        <v>28</v>
      </c>
      <c r="BB42" s="40"/>
      <c r="BC42" s="40"/>
      <c r="BD42" s="40"/>
      <c r="BE42" s="40"/>
      <c r="BF42" s="208">
        <v>28</v>
      </c>
      <c r="BG42" s="179">
        <v>26</v>
      </c>
      <c r="BH42" s="40"/>
      <c r="BI42" s="40"/>
      <c r="BJ42" s="40"/>
      <c r="BK42" s="40"/>
      <c r="BL42" s="199">
        <v>26</v>
      </c>
    </row>
    <row r="43" spans="1:64" ht="15.75" x14ac:dyDescent="0.2">
      <c r="A43" s="15" t="s">
        <v>35</v>
      </c>
      <c r="B43" s="135" t="s">
        <v>23</v>
      </c>
      <c r="C43" s="49"/>
      <c r="D43" s="40" t="s">
        <v>205</v>
      </c>
      <c r="E43" s="50"/>
      <c r="F43" s="169">
        <v>106</v>
      </c>
      <c r="G43" s="431"/>
      <c r="H43" s="435">
        <f t="shared" si="13"/>
        <v>106</v>
      </c>
      <c r="I43" s="52"/>
      <c r="J43" s="12"/>
      <c r="K43" s="70"/>
      <c r="L43" s="428">
        <f t="shared" si="14"/>
        <v>106</v>
      </c>
      <c r="M43" s="52"/>
      <c r="N43" s="12">
        <v>106</v>
      </c>
      <c r="O43" s="12"/>
      <c r="P43" s="80"/>
      <c r="Q43" s="192"/>
      <c r="R43" s="40"/>
      <c r="S43" s="40"/>
      <c r="T43" s="6"/>
      <c r="U43" s="40"/>
      <c r="V43" s="208"/>
      <c r="W43" s="179"/>
      <c r="X43" s="40"/>
      <c r="Y43" s="40"/>
      <c r="Z43" s="40"/>
      <c r="AA43" s="40"/>
      <c r="AB43" s="199"/>
      <c r="AC43" s="192"/>
      <c r="AD43" s="40"/>
      <c r="AE43" s="40"/>
      <c r="AF43" s="40"/>
      <c r="AG43" s="40"/>
      <c r="AH43" s="208"/>
      <c r="AI43" s="216"/>
      <c r="AJ43" s="40"/>
      <c r="AK43" s="40"/>
      <c r="AL43" s="40"/>
      <c r="AM43" s="40"/>
      <c r="AN43" s="216"/>
      <c r="AO43" s="194">
        <v>28</v>
      </c>
      <c r="AP43" s="40"/>
      <c r="AQ43" s="40"/>
      <c r="AR43" s="40"/>
      <c r="AS43" s="40"/>
      <c r="AT43" s="208">
        <v>28</v>
      </c>
      <c r="AU43" s="192">
        <v>24</v>
      </c>
      <c r="AV43" s="40"/>
      <c r="AW43" s="40"/>
      <c r="AX43" s="40"/>
      <c r="AY43" s="40"/>
      <c r="AZ43" s="208">
        <v>24</v>
      </c>
      <c r="BA43" s="179">
        <v>28</v>
      </c>
      <c r="BB43" s="40"/>
      <c r="BC43" s="40"/>
      <c r="BD43" s="6"/>
      <c r="BE43" s="40"/>
      <c r="BF43" s="208">
        <v>28</v>
      </c>
      <c r="BG43" s="179">
        <v>26</v>
      </c>
      <c r="BH43" s="40"/>
      <c r="BI43" s="40"/>
      <c r="BJ43" s="40"/>
      <c r="BK43" s="40"/>
      <c r="BL43" s="199">
        <v>26</v>
      </c>
    </row>
    <row r="44" spans="1:64" ht="15.75" x14ac:dyDescent="0.2">
      <c r="A44" s="15" t="s">
        <v>36</v>
      </c>
      <c r="B44" s="76" t="s">
        <v>170</v>
      </c>
      <c r="C44" s="78"/>
      <c r="D44" s="10">
        <v>4</v>
      </c>
      <c r="E44" s="64"/>
      <c r="F44" s="169">
        <v>98</v>
      </c>
      <c r="G44" s="431"/>
      <c r="H44" s="435">
        <f t="shared" si="13"/>
        <v>98</v>
      </c>
      <c r="I44" s="52"/>
      <c r="J44" s="12"/>
      <c r="K44" s="70"/>
      <c r="L44" s="428">
        <f t="shared" si="14"/>
        <v>98</v>
      </c>
      <c r="M44" s="52">
        <v>38</v>
      </c>
      <c r="N44" s="10">
        <v>60</v>
      </c>
      <c r="O44" s="10"/>
      <c r="P44" s="82"/>
      <c r="Q44" s="194"/>
      <c r="R44" s="6"/>
      <c r="S44" s="6"/>
      <c r="T44" s="6"/>
      <c r="U44" s="6"/>
      <c r="V44" s="209"/>
      <c r="W44" s="188"/>
      <c r="X44" s="74"/>
      <c r="Y44" s="74"/>
      <c r="Z44" s="74"/>
      <c r="AA44" s="74"/>
      <c r="AB44" s="202"/>
      <c r="AC44" s="192">
        <v>32</v>
      </c>
      <c r="AD44" s="6"/>
      <c r="AE44" s="6"/>
      <c r="AF44" s="6"/>
      <c r="AG44" s="6"/>
      <c r="AH44" s="209">
        <v>32</v>
      </c>
      <c r="AI44" s="217">
        <v>66</v>
      </c>
      <c r="AJ44" s="6"/>
      <c r="AK44" s="6"/>
      <c r="AL44" s="6"/>
      <c r="AM44" s="6"/>
      <c r="AN44" s="217">
        <v>66</v>
      </c>
      <c r="AO44" s="192"/>
      <c r="AP44" s="6"/>
      <c r="AQ44" s="6"/>
      <c r="AR44" s="6"/>
      <c r="AS44" s="6"/>
      <c r="AT44" s="209"/>
      <c r="AU44" s="192"/>
      <c r="AV44" s="6"/>
      <c r="AW44" s="6"/>
      <c r="AX44" s="6"/>
      <c r="AY44" s="6"/>
      <c r="AZ44" s="208"/>
      <c r="BA44" s="181"/>
      <c r="BB44" s="6"/>
      <c r="BC44" s="6"/>
      <c r="BD44" s="6"/>
      <c r="BE44" s="6"/>
      <c r="BF44" s="209"/>
      <c r="BG44" s="188"/>
      <c r="BH44" s="74"/>
      <c r="BI44" s="74"/>
      <c r="BJ44" s="74"/>
      <c r="BK44" s="74"/>
      <c r="BL44" s="202"/>
    </row>
    <row r="45" spans="1:64" ht="15.75" x14ac:dyDescent="0.2">
      <c r="A45" s="15" t="s">
        <v>37</v>
      </c>
      <c r="B45" s="79" t="s">
        <v>171</v>
      </c>
      <c r="C45" s="473">
        <v>4</v>
      </c>
      <c r="D45" s="42">
        <v>3</v>
      </c>
      <c r="E45" s="72"/>
      <c r="F45" s="169">
        <v>110</v>
      </c>
      <c r="G45" s="432">
        <v>6</v>
      </c>
      <c r="H45" s="435">
        <v>104</v>
      </c>
      <c r="I45" s="51">
        <v>8</v>
      </c>
      <c r="J45" s="39">
        <v>4</v>
      </c>
      <c r="K45" s="467"/>
      <c r="L45" s="428">
        <f t="shared" si="14"/>
        <v>92</v>
      </c>
      <c r="M45" s="51">
        <v>32</v>
      </c>
      <c r="N45" s="42">
        <v>60</v>
      </c>
      <c r="O45" s="42"/>
      <c r="P45" s="233"/>
      <c r="Q45" s="193"/>
      <c r="R45" s="120"/>
      <c r="S45" s="120"/>
      <c r="T45" s="120"/>
      <c r="U45" s="120"/>
      <c r="V45" s="210"/>
      <c r="W45" s="189"/>
      <c r="X45" s="73"/>
      <c r="Y45" s="73"/>
      <c r="Z45" s="73"/>
      <c r="AA45" s="73"/>
      <c r="AB45" s="234"/>
      <c r="AC45" s="193">
        <v>48</v>
      </c>
      <c r="AD45" s="43"/>
      <c r="AE45" s="43"/>
      <c r="AF45" s="43"/>
      <c r="AG45" s="43"/>
      <c r="AH45" s="210">
        <v>48</v>
      </c>
      <c r="AI45" s="218">
        <v>62</v>
      </c>
      <c r="AJ45" s="43">
        <v>6</v>
      </c>
      <c r="AK45" s="158">
        <v>8</v>
      </c>
      <c r="AL45" s="158">
        <v>4</v>
      </c>
      <c r="AM45" s="158"/>
      <c r="AN45" s="218">
        <v>44</v>
      </c>
      <c r="AO45" s="193"/>
      <c r="AP45" s="158"/>
      <c r="AQ45" s="158"/>
      <c r="AR45" s="158"/>
      <c r="AS45" s="158"/>
      <c r="AT45" s="210"/>
      <c r="AU45" s="193"/>
      <c r="AV45" s="43"/>
      <c r="AW45" s="43"/>
      <c r="AX45" s="43"/>
      <c r="AY45" s="43"/>
      <c r="AZ45" s="210"/>
      <c r="BA45" s="182"/>
      <c r="BB45" s="120"/>
      <c r="BC45" s="120"/>
      <c r="BD45" s="120"/>
      <c r="BE45" s="120"/>
      <c r="BF45" s="210"/>
      <c r="BG45" s="189"/>
      <c r="BH45" s="73"/>
      <c r="BI45" s="73"/>
      <c r="BJ45" s="73"/>
      <c r="BK45" s="73"/>
      <c r="BL45" s="234"/>
    </row>
    <row r="46" spans="1:64" ht="15.75" x14ac:dyDescent="0.2">
      <c r="A46" s="15" t="s">
        <v>46</v>
      </c>
      <c r="B46" s="135" t="s">
        <v>202</v>
      </c>
      <c r="C46" s="63"/>
      <c r="D46" s="6">
        <v>8</v>
      </c>
      <c r="E46" s="64"/>
      <c r="F46" s="169">
        <v>57</v>
      </c>
      <c r="G46" s="433">
        <v>5</v>
      </c>
      <c r="H46" s="435">
        <v>52</v>
      </c>
      <c r="I46" s="98"/>
      <c r="J46" s="10"/>
      <c r="K46" s="426"/>
      <c r="L46" s="428">
        <f t="shared" si="14"/>
        <v>52</v>
      </c>
      <c r="M46" s="98">
        <v>52</v>
      </c>
      <c r="N46" s="10"/>
      <c r="O46" s="10"/>
      <c r="P46" s="82"/>
      <c r="Q46" s="194"/>
      <c r="R46" s="6"/>
      <c r="S46" s="6"/>
      <c r="T46" s="6"/>
      <c r="U46" s="6"/>
      <c r="V46" s="209"/>
      <c r="W46" s="181"/>
      <c r="X46" s="6"/>
      <c r="Y46" s="6"/>
      <c r="Z46" s="6"/>
      <c r="AA46" s="6"/>
      <c r="AB46" s="201"/>
      <c r="AC46" s="194"/>
      <c r="AD46" s="6"/>
      <c r="AE46" s="6"/>
      <c r="AF46" s="6"/>
      <c r="AG46" s="6"/>
      <c r="AH46" s="209"/>
      <c r="AI46" s="217"/>
      <c r="AJ46" s="6"/>
      <c r="AK46" s="6"/>
      <c r="AL46" s="6"/>
      <c r="AM46" s="6"/>
      <c r="AN46" s="217"/>
      <c r="AO46" s="194"/>
      <c r="AP46" s="6"/>
      <c r="AQ46" s="6"/>
      <c r="AR46" s="6"/>
      <c r="AS46" s="6"/>
      <c r="AT46" s="209"/>
      <c r="AU46" s="194"/>
      <c r="AV46" s="6"/>
      <c r="AW46" s="6"/>
      <c r="AX46" s="6"/>
      <c r="AY46" s="6"/>
      <c r="AZ46" s="209"/>
      <c r="BA46" s="181"/>
      <c r="BB46" s="6"/>
      <c r="BC46" s="6"/>
      <c r="BD46" s="6"/>
      <c r="BE46" s="6"/>
      <c r="BF46" s="209"/>
      <c r="BG46" s="181">
        <v>57</v>
      </c>
      <c r="BH46" s="6">
        <v>5</v>
      </c>
      <c r="BI46" s="6"/>
      <c r="BJ46" s="6"/>
      <c r="BK46" s="6"/>
      <c r="BL46" s="201">
        <v>52</v>
      </c>
    </row>
    <row r="47" spans="1:64" ht="8.25" customHeight="1" thickBot="1" x14ac:dyDescent="0.25">
      <c r="A47" s="15"/>
      <c r="B47" s="137"/>
      <c r="C47" s="49"/>
      <c r="D47" s="40"/>
      <c r="E47" s="50"/>
      <c r="F47" s="429"/>
      <c r="G47" s="431"/>
      <c r="H47" s="436"/>
      <c r="I47" s="52"/>
      <c r="J47" s="12"/>
      <c r="K47" s="70"/>
      <c r="L47" s="468"/>
      <c r="M47" s="52"/>
      <c r="N47" s="12"/>
      <c r="O47" s="12"/>
      <c r="P47" s="80"/>
      <c r="Q47" s="424"/>
      <c r="R47" s="332"/>
      <c r="S47" s="332"/>
      <c r="T47" s="332"/>
      <c r="U47" s="332"/>
      <c r="V47" s="333"/>
      <c r="W47" s="179"/>
      <c r="X47" s="40"/>
      <c r="Y47" s="40"/>
      <c r="Z47" s="40"/>
      <c r="AA47" s="40"/>
      <c r="AB47" s="199"/>
      <c r="AC47" s="192"/>
      <c r="AD47" s="40"/>
      <c r="AE47" s="40"/>
      <c r="AF47" s="40"/>
      <c r="AG47" s="40"/>
      <c r="AH47" s="208"/>
      <c r="AI47" s="179"/>
      <c r="AJ47" s="40"/>
      <c r="AK47" s="40"/>
      <c r="AL47" s="40"/>
      <c r="AM47" s="40"/>
      <c r="AN47" s="216"/>
      <c r="AO47" s="192"/>
      <c r="AP47" s="40"/>
      <c r="AQ47" s="40"/>
      <c r="AR47" s="40"/>
      <c r="AS47" s="40"/>
      <c r="AT47" s="208"/>
      <c r="AU47" s="192"/>
      <c r="AV47" s="40"/>
      <c r="AW47" s="40"/>
      <c r="AX47" s="40"/>
      <c r="AY47" s="40"/>
      <c r="AZ47" s="208"/>
      <c r="BA47" s="179"/>
      <c r="BB47" s="40"/>
      <c r="BC47" s="40"/>
      <c r="BD47" s="40"/>
      <c r="BE47" s="40"/>
      <c r="BF47" s="208"/>
      <c r="BG47" s="179"/>
      <c r="BH47" s="40"/>
      <c r="BI47" s="40"/>
      <c r="BJ47" s="40"/>
      <c r="BK47" s="40"/>
      <c r="BL47" s="199"/>
    </row>
    <row r="48" spans="1:64" ht="1.5" hidden="1" customHeight="1" thickBot="1" x14ac:dyDescent="0.25">
      <c r="A48" s="15"/>
      <c r="B48" s="130"/>
      <c r="C48" s="49"/>
      <c r="D48" s="40"/>
      <c r="E48" s="50"/>
      <c r="F48" s="169"/>
      <c r="G48" s="52"/>
      <c r="H48" s="229">
        <f t="shared" ref="H48:H49" si="15">SUM(Q48+W48+AC48+AI48+AO48+AU48+BA48+BG48)</f>
        <v>0</v>
      </c>
      <c r="I48" s="12"/>
      <c r="J48" s="12"/>
      <c r="K48" s="12"/>
      <c r="L48" s="199"/>
      <c r="M48" s="12"/>
      <c r="N48" s="12"/>
      <c r="O48" s="12"/>
      <c r="P48" s="80"/>
      <c r="Q48" s="179"/>
      <c r="R48" s="40"/>
      <c r="S48" s="40"/>
      <c r="T48" s="40"/>
      <c r="U48" s="40"/>
      <c r="V48" s="208"/>
      <c r="W48" s="179"/>
      <c r="X48" s="40"/>
      <c r="Y48" s="40"/>
      <c r="Z48" s="40"/>
      <c r="AA48" s="40"/>
      <c r="AB48" s="199"/>
      <c r="AC48" s="192"/>
      <c r="AD48" s="40"/>
      <c r="AE48" s="40"/>
      <c r="AF48" s="40"/>
      <c r="AG48" s="40"/>
      <c r="AH48" s="208"/>
      <c r="AI48" s="179"/>
      <c r="AJ48" s="40"/>
      <c r="AK48" s="40"/>
      <c r="AL48" s="40"/>
      <c r="AM48" s="40"/>
      <c r="AN48" s="216"/>
      <c r="AO48" s="192"/>
      <c r="AP48" s="40"/>
      <c r="AQ48" s="40"/>
      <c r="AR48" s="40"/>
      <c r="AS48" s="40"/>
      <c r="AT48" s="208"/>
      <c r="AU48" s="192"/>
      <c r="AV48" s="40"/>
      <c r="AW48" s="40"/>
      <c r="AX48" s="40"/>
      <c r="AY48" s="40"/>
      <c r="AZ48" s="208"/>
      <c r="BA48" s="179"/>
      <c r="BB48" s="40"/>
      <c r="BC48" s="40"/>
      <c r="BD48" s="40"/>
      <c r="BE48" s="40"/>
      <c r="BF48" s="208"/>
      <c r="BG48" s="179"/>
      <c r="BH48" s="40"/>
      <c r="BI48" s="40"/>
      <c r="BJ48" s="40"/>
      <c r="BK48" s="40"/>
      <c r="BL48" s="199"/>
    </row>
    <row r="49" spans="1:64" ht="20.25" hidden="1" customHeight="1" thickBot="1" x14ac:dyDescent="0.25">
      <c r="A49" s="15"/>
      <c r="B49" s="77"/>
      <c r="C49" s="49"/>
      <c r="D49" s="40"/>
      <c r="E49" s="50"/>
      <c r="F49" s="169"/>
      <c r="G49" s="52"/>
      <c r="H49" s="229">
        <f t="shared" si="15"/>
        <v>0</v>
      </c>
      <c r="I49" s="39"/>
      <c r="J49" s="39"/>
      <c r="K49" s="39"/>
      <c r="L49" s="200"/>
      <c r="M49" s="39"/>
      <c r="N49" s="39"/>
      <c r="O49" s="39"/>
      <c r="P49" s="462"/>
      <c r="Q49" s="180"/>
      <c r="R49" s="43"/>
      <c r="S49" s="43"/>
      <c r="T49" s="43"/>
      <c r="U49" s="43"/>
      <c r="V49" s="210"/>
      <c r="W49" s="180"/>
      <c r="X49" s="43"/>
      <c r="Y49" s="43"/>
      <c r="Z49" s="43"/>
      <c r="AA49" s="43"/>
      <c r="AB49" s="461"/>
      <c r="AC49" s="193"/>
      <c r="AD49" s="120"/>
      <c r="AE49" s="120"/>
      <c r="AF49" s="120"/>
      <c r="AG49" s="120"/>
      <c r="AH49" s="425"/>
      <c r="AI49" s="182"/>
      <c r="AJ49" s="120"/>
      <c r="AK49" s="120"/>
      <c r="AL49" s="120"/>
      <c r="AM49" s="120"/>
      <c r="AN49" s="463"/>
      <c r="AO49" s="193"/>
      <c r="AP49" s="120"/>
      <c r="AQ49" s="120"/>
      <c r="AR49" s="120"/>
      <c r="AS49" s="120"/>
      <c r="AT49" s="425"/>
      <c r="AU49" s="193"/>
      <c r="AV49" s="120"/>
      <c r="AW49" s="120"/>
      <c r="AX49" s="120"/>
      <c r="AY49" s="120"/>
      <c r="AZ49" s="425"/>
      <c r="BA49" s="180"/>
      <c r="BB49" s="43"/>
      <c r="BC49" s="43"/>
      <c r="BD49" s="43"/>
      <c r="BE49" s="43"/>
      <c r="BF49" s="210"/>
      <c r="BG49" s="180"/>
      <c r="BH49" s="43"/>
      <c r="BI49" s="43"/>
      <c r="BJ49" s="43"/>
      <c r="BK49" s="43"/>
      <c r="BL49" s="461"/>
    </row>
    <row r="50" spans="1:64" ht="18" customHeight="1" thickBot="1" x14ac:dyDescent="0.25">
      <c r="A50" s="88" t="s">
        <v>17</v>
      </c>
      <c r="B50" s="86" t="s">
        <v>63</v>
      </c>
      <c r="C50" s="47"/>
      <c r="D50" s="41"/>
      <c r="E50" s="48"/>
      <c r="F50" s="505">
        <f>SUM(F64+F57+F51+F69)</f>
        <v>2755</v>
      </c>
      <c r="G50" s="505">
        <f>SUM(G64+G57+G51+G69)</f>
        <v>112</v>
      </c>
      <c r="H50" s="506">
        <f>SUM(H64+H57+H51+H69)</f>
        <v>2643</v>
      </c>
      <c r="I50" s="508">
        <f t="shared" ref="I50:P50" si="16">SUM(I64+I57+I51)</f>
        <v>48</v>
      </c>
      <c r="J50" s="509">
        <f t="shared" si="16"/>
        <v>38</v>
      </c>
      <c r="K50" s="510">
        <f>SUM(K64+K57+K51+K69)</f>
        <v>900</v>
      </c>
      <c r="L50" s="511">
        <f t="shared" si="16"/>
        <v>1247</v>
      </c>
      <c r="M50" s="512">
        <f t="shared" si="16"/>
        <v>397</v>
      </c>
      <c r="N50" s="509">
        <f t="shared" si="16"/>
        <v>850</v>
      </c>
      <c r="O50" s="509">
        <f t="shared" si="16"/>
        <v>0</v>
      </c>
      <c r="P50" s="510">
        <f t="shared" si="16"/>
        <v>0</v>
      </c>
      <c r="Q50" s="508"/>
      <c r="R50" s="509"/>
      <c r="S50" s="509"/>
      <c r="T50" s="509"/>
      <c r="U50" s="509"/>
      <c r="V50" s="513"/>
      <c r="W50" s="508"/>
      <c r="X50" s="509"/>
      <c r="Y50" s="509"/>
      <c r="Z50" s="509"/>
      <c r="AA50" s="509"/>
      <c r="AB50" s="513"/>
      <c r="AC50" s="512"/>
      <c r="AD50" s="509"/>
      <c r="AE50" s="509"/>
      <c r="AF50" s="509"/>
      <c r="AG50" s="509"/>
      <c r="AH50" s="510"/>
      <c r="AI50" s="508">
        <f>SUM(AI64+AI57+AI51)</f>
        <v>200</v>
      </c>
      <c r="AJ50" s="509">
        <f>SUM(AJ64+AJ57+AJ51)</f>
        <v>10</v>
      </c>
      <c r="AK50" s="509"/>
      <c r="AL50" s="509"/>
      <c r="AM50" s="509">
        <f>SUM(AM64+AM57+AM51)</f>
        <v>36</v>
      </c>
      <c r="AN50" s="513">
        <f>SUM(AN64+AN57+AN51)</f>
        <v>154</v>
      </c>
      <c r="AO50" s="508">
        <f>SUM(AO64+AO57+AO51)</f>
        <v>556</v>
      </c>
      <c r="AP50" s="509">
        <f>SUM(AP64+AP57+AP51)</f>
        <v>14</v>
      </c>
      <c r="AQ50" s="509"/>
      <c r="AR50" s="509"/>
      <c r="AS50" s="509">
        <f>SUM(AS64+AS57+AS51)</f>
        <v>108</v>
      </c>
      <c r="AT50" s="513">
        <f>SUM(AT64+AT57+AT51)</f>
        <v>434</v>
      </c>
      <c r="AU50" s="508">
        <f>SUM(AU64+AU57+AU69+AU51)</f>
        <v>816</v>
      </c>
      <c r="AV50" s="508">
        <f t="shared" ref="AV50:AZ50" si="17">SUM(AV64+AV57+AV69+AV51)</f>
        <v>52</v>
      </c>
      <c r="AW50" s="508">
        <f t="shared" si="17"/>
        <v>16</v>
      </c>
      <c r="AX50" s="508">
        <f t="shared" si="17"/>
        <v>16</v>
      </c>
      <c r="AY50" s="508">
        <f t="shared" si="17"/>
        <v>396</v>
      </c>
      <c r="AZ50" s="508">
        <f t="shared" si="17"/>
        <v>336</v>
      </c>
      <c r="BA50" s="508">
        <f t="shared" ref="BA50:BL50" si="18">SUM(BA64+BA57+BA51+BA69)</f>
        <v>556</v>
      </c>
      <c r="BB50" s="509">
        <f t="shared" si="18"/>
        <v>20</v>
      </c>
      <c r="BC50" s="509">
        <f t="shared" si="18"/>
        <v>24</v>
      </c>
      <c r="BD50" s="509">
        <f t="shared" si="18"/>
        <v>0</v>
      </c>
      <c r="BE50" s="509">
        <f t="shared" si="18"/>
        <v>72</v>
      </c>
      <c r="BF50" s="513">
        <f t="shared" si="18"/>
        <v>440</v>
      </c>
      <c r="BG50" s="512">
        <f t="shared" si="18"/>
        <v>627</v>
      </c>
      <c r="BH50" s="509">
        <f t="shared" si="18"/>
        <v>28</v>
      </c>
      <c r="BI50" s="509">
        <f t="shared" si="18"/>
        <v>24</v>
      </c>
      <c r="BJ50" s="509">
        <f t="shared" si="18"/>
        <v>14</v>
      </c>
      <c r="BK50" s="509">
        <f t="shared" si="18"/>
        <v>288</v>
      </c>
      <c r="BL50" s="513">
        <f t="shared" si="18"/>
        <v>273</v>
      </c>
    </row>
    <row r="51" spans="1:64" ht="33.75" thickBot="1" x14ac:dyDescent="0.25">
      <c r="A51" s="168" t="s">
        <v>18</v>
      </c>
      <c r="B51" s="477" t="s">
        <v>172</v>
      </c>
      <c r="C51" s="478" t="s">
        <v>207</v>
      </c>
      <c r="D51" s="479">
        <v>4</v>
      </c>
      <c r="E51" s="480"/>
      <c r="F51" s="168">
        <f>SUM(F52:F56)</f>
        <v>512</v>
      </c>
      <c r="G51" s="168">
        <f t="shared" ref="G51:AZ51" si="19">SUM(G52:G56)</f>
        <v>12</v>
      </c>
      <c r="H51" s="460">
        <f>SUM(H52:H56)</f>
        <v>500</v>
      </c>
      <c r="I51" s="464">
        <f>SUM(I52:I55)</f>
        <v>8</v>
      </c>
      <c r="J51" s="465">
        <f>SUM(J52:J55)</f>
        <v>8</v>
      </c>
      <c r="K51" s="469">
        <f>SUM(K52:K55)</f>
        <v>180</v>
      </c>
      <c r="L51" s="471">
        <f t="shared" si="19"/>
        <v>304</v>
      </c>
      <c r="M51" s="470">
        <f t="shared" si="19"/>
        <v>104</v>
      </c>
      <c r="N51" s="465">
        <f t="shared" si="19"/>
        <v>200</v>
      </c>
      <c r="O51" s="465">
        <f t="shared" si="19"/>
        <v>0</v>
      </c>
      <c r="P51" s="469">
        <f t="shared" si="19"/>
        <v>0</v>
      </c>
      <c r="Q51" s="464"/>
      <c r="R51" s="465"/>
      <c r="S51" s="465"/>
      <c r="T51" s="465"/>
      <c r="U51" s="465"/>
      <c r="V51" s="466"/>
      <c r="W51" s="464"/>
      <c r="X51" s="465"/>
      <c r="Y51" s="465"/>
      <c r="Z51" s="465"/>
      <c r="AA51" s="465"/>
      <c r="AB51" s="466"/>
      <c r="AC51" s="470"/>
      <c r="AD51" s="465"/>
      <c r="AE51" s="465"/>
      <c r="AF51" s="465"/>
      <c r="AG51" s="465"/>
      <c r="AH51" s="469"/>
      <c r="AI51" s="464">
        <f t="shared" si="19"/>
        <v>200</v>
      </c>
      <c r="AJ51" s="465">
        <f t="shared" si="19"/>
        <v>10</v>
      </c>
      <c r="AK51" s="465"/>
      <c r="AL51" s="465"/>
      <c r="AM51" s="465">
        <f t="shared" si="19"/>
        <v>36</v>
      </c>
      <c r="AN51" s="466">
        <f>SUM(AN52:AN56)</f>
        <v>154</v>
      </c>
      <c r="AO51" s="464">
        <f t="shared" si="19"/>
        <v>236</v>
      </c>
      <c r="AP51" s="465">
        <f t="shared" si="19"/>
        <v>2</v>
      </c>
      <c r="AQ51" s="465"/>
      <c r="AR51" s="465"/>
      <c r="AS51" s="465">
        <f t="shared" si="19"/>
        <v>108</v>
      </c>
      <c r="AT51" s="466">
        <f t="shared" si="19"/>
        <v>126</v>
      </c>
      <c r="AU51" s="464">
        <f t="shared" si="19"/>
        <v>76</v>
      </c>
      <c r="AV51" s="465"/>
      <c r="AW51" s="465">
        <f t="shared" si="19"/>
        <v>8</v>
      </c>
      <c r="AX51" s="465">
        <f t="shared" si="19"/>
        <v>8</v>
      </c>
      <c r="AY51" s="465">
        <f t="shared" si="19"/>
        <v>36</v>
      </c>
      <c r="AZ51" s="466">
        <f t="shared" si="19"/>
        <v>24</v>
      </c>
      <c r="BA51" s="464"/>
      <c r="BB51" s="465"/>
      <c r="BC51" s="465"/>
      <c r="BD51" s="465"/>
      <c r="BE51" s="465"/>
      <c r="BF51" s="466"/>
      <c r="BG51" s="470"/>
      <c r="BH51" s="465"/>
      <c r="BI51" s="465"/>
      <c r="BJ51" s="465"/>
      <c r="BK51" s="465"/>
      <c r="BL51" s="466"/>
    </row>
    <row r="52" spans="1:64" ht="15.75" x14ac:dyDescent="0.2">
      <c r="A52" s="81" t="s">
        <v>19</v>
      </c>
      <c r="B52" s="138" t="s">
        <v>173</v>
      </c>
      <c r="C52" s="94"/>
      <c r="D52" s="46">
        <v>4.5</v>
      </c>
      <c r="E52" s="104"/>
      <c r="F52" s="172">
        <v>158</v>
      </c>
      <c r="G52" s="431">
        <v>6</v>
      </c>
      <c r="H52" s="434">
        <v>152</v>
      </c>
      <c r="I52" s="52"/>
      <c r="J52" s="12"/>
      <c r="K52" s="70"/>
      <c r="L52" s="428">
        <f>SUM(V52+AB52+AH52+AN52+AT52+AZ52+BF52)</f>
        <v>152</v>
      </c>
      <c r="M52" s="52">
        <v>52</v>
      </c>
      <c r="N52" s="12">
        <v>100</v>
      </c>
      <c r="O52" s="12"/>
      <c r="P52" s="70"/>
      <c r="Q52" s="192"/>
      <c r="R52" s="40"/>
      <c r="S52" s="40"/>
      <c r="T52" s="40"/>
      <c r="U52" s="40"/>
      <c r="V52" s="208"/>
      <c r="W52" s="179"/>
      <c r="X52" s="40"/>
      <c r="Y52" s="40"/>
      <c r="Z52" s="40"/>
      <c r="AA52" s="40"/>
      <c r="AB52" s="208"/>
      <c r="AC52" s="192"/>
      <c r="AD52" s="40"/>
      <c r="AE52" s="40"/>
      <c r="AF52" s="40"/>
      <c r="AG52" s="40"/>
      <c r="AH52" s="208"/>
      <c r="AI52" s="179">
        <v>116</v>
      </c>
      <c r="AJ52" s="40">
        <v>6</v>
      </c>
      <c r="AK52" s="40"/>
      <c r="AL52" s="40"/>
      <c r="AM52" s="40"/>
      <c r="AN52" s="216">
        <v>110</v>
      </c>
      <c r="AO52" s="208">
        <v>42</v>
      </c>
      <c r="AP52" s="40"/>
      <c r="AQ52" s="40"/>
      <c r="AR52" s="40"/>
      <c r="AS52" s="40"/>
      <c r="AT52" s="208">
        <v>42</v>
      </c>
      <c r="AU52" s="192"/>
      <c r="AV52" s="40"/>
      <c r="AW52" s="40"/>
      <c r="AX52" s="40"/>
      <c r="AY52" s="40"/>
      <c r="AZ52" s="208"/>
      <c r="BA52" s="192"/>
      <c r="BB52" s="40"/>
      <c r="BC52" s="40"/>
      <c r="BD52" s="40"/>
      <c r="BE52" s="40"/>
      <c r="BF52" s="208"/>
      <c r="BG52" s="179"/>
      <c r="BH52" s="40"/>
      <c r="BI52" s="40"/>
      <c r="BJ52" s="40"/>
      <c r="BK52" s="40"/>
      <c r="BL52" s="208"/>
    </row>
    <row r="53" spans="1:64" ht="15.75" x14ac:dyDescent="0.2">
      <c r="A53" s="81" t="s">
        <v>85</v>
      </c>
      <c r="B53" s="139" t="s">
        <v>174</v>
      </c>
      <c r="C53" s="95">
        <v>6</v>
      </c>
      <c r="D53" s="18">
        <v>4.5</v>
      </c>
      <c r="E53" s="105"/>
      <c r="F53" s="169">
        <v>174</v>
      </c>
      <c r="G53" s="431">
        <v>6</v>
      </c>
      <c r="H53" s="435">
        <v>168</v>
      </c>
      <c r="I53" s="52">
        <v>8</v>
      </c>
      <c r="J53" s="12">
        <v>8</v>
      </c>
      <c r="K53" s="70"/>
      <c r="L53" s="428">
        <f>SUM(V53+AB53+AH53+AN53+AT53+AZ53+BF53)</f>
        <v>152</v>
      </c>
      <c r="M53" s="52">
        <v>52</v>
      </c>
      <c r="N53" s="10">
        <v>100</v>
      </c>
      <c r="O53" s="10"/>
      <c r="P53" s="82"/>
      <c r="Q53" s="192"/>
      <c r="R53" s="40"/>
      <c r="S53" s="40"/>
      <c r="T53" s="40"/>
      <c r="U53" s="40"/>
      <c r="V53" s="208"/>
      <c r="W53" s="179"/>
      <c r="X53" s="40"/>
      <c r="Y53" s="40"/>
      <c r="Z53" s="40"/>
      <c r="AA53" s="40"/>
      <c r="AB53" s="208"/>
      <c r="AC53" s="192"/>
      <c r="AD53" s="6"/>
      <c r="AE53" s="6"/>
      <c r="AF53" s="6"/>
      <c r="AG53" s="40"/>
      <c r="AH53" s="209"/>
      <c r="AI53" s="179">
        <v>48</v>
      </c>
      <c r="AJ53" s="6">
        <v>4</v>
      </c>
      <c r="AK53" s="6"/>
      <c r="AL53" s="6"/>
      <c r="AM53" s="6"/>
      <c r="AN53" s="217">
        <v>44</v>
      </c>
      <c r="AO53" s="209">
        <v>86</v>
      </c>
      <c r="AP53" s="6">
        <v>2</v>
      </c>
      <c r="AQ53" s="6"/>
      <c r="AR53" s="6"/>
      <c r="AS53" s="6"/>
      <c r="AT53" s="209">
        <v>84</v>
      </c>
      <c r="AU53" s="192">
        <v>40</v>
      </c>
      <c r="AV53" s="6"/>
      <c r="AW53" s="6">
        <v>8</v>
      </c>
      <c r="AX53" s="6">
        <v>8</v>
      </c>
      <c r="AY53" s="6"/>
      <c r="AZ53" s="209">
        <v>24</v>
      </c>
      <c r="BA53" s="179"/>
      <c r="BB53" s="40"/>
      <c r="BC53" s="40"/>
      <c r="BD53" s="40"/>
      <c r="BE53" s="40"/>
      <c r="BF53" s="208"/>
      <c r="BG53" s="179"/>
      <c r="BH53" s="40"/>
      <c r="BI53" s="40"/>
      <c r="BJ53" s="40"/>
      <c r="BK53" s="40"/>
      <c r="BL53" s="208"/>
    </row>
    <row r="54" spans="1:64" ht="15.75" x14ac:dyDescent="0.2">
      <c r="A54" s="81" t="s">
        <v>47</v>
      </c>
      <c r="B54" s="138" t="s">
        <v>194</v>
      </c>
      <c r="C54" s="140"/>
      <c r="D54" s="18" t="s">
        <v>210</v>
      </c>
      <c r="E54" s="105"/>
      <c r="F54" s="169">
        <f>SUM(O54+U54+AA54+AG54+AM54+AS54+AY54+BE54)</f>
        <v>36</v>
      </c>
      <c r="G54" s="432"/>
      <c r="H54" s="435">
        <f t="shared" ref="H54:H55" si="20">SUM(AI54+AO54+AU54)</f>
        <v>36</v>
      </c>
      <c r="I54" s="98"/>
      <c r="J54" s="10"/>
      <c r="K54" s="426">
        <v>36</v>
      </c>
      <c r="L54" s="428">
        <f t="shared" ref="L54:L55" si="21">SUM(V54+AB54+AH54+AN54+AT54+AZ54+BF54)</f>
        <v>0</v>
      </c>
      <c r="M54" s="98"/>
      <c r="N54" s="10"/>
      <c r="O54" s="10"/>
      <c r="P54" s="82"/>
      <c r="Q54" s="192"/>
      <c r="R54" s="40"/>
      <c r="S54" s="40"/>
      <c r="T54" s="40"/>
      <c r="U54" s="40"/>
      <c r="V54" s="208"/>
      <c r="W54" s="179"/>
      <c r="X54" s="40"/>
      <c r="Y54" s="40"/>
      <c r="Z54" s="40"/>
      <c r="AA54" s="40"/>
      <c r="AB54" s="208"/>
      <c r="AC54" s="194"/>
      <c r="AD54" s="6"/>
      <c r="AE54" s="6"/>
      <c r="AF54" s="6"/>
      <c r="AG54" s="6"/>
      <c r="AH54" s="209"/>
      <c r="AI54" s="194">
        <v>36</v>
      </c>
      <c r="AJ54" s="6"/>
      <c r="AK54" s="6"/>
      <c r="AL54" s="6"/>
      <c r="AM54" s="6">
        <v>36</v>
      </c>
      <c r="AN54" s="209"/>
      <c r="AO54" s="194"/>
      <c r="AP54" s="6"/>
      <c r="AQ54" s="6"/>
      <c r="AR54" s="6"/>
      <c r="AS54" s="6"/>
      <c r="AT54" s="209"/>
      <c r="AU54" s="194"/>
      <c r="AV54" s="6"/>
      <c r="AW54" s="6"/>
      <c r="AX54" s="6"/>
      <c r="AY54" s="6"/>
      <c r="AZ54" s="209"/>
      <c r="BA54" s="179"/>
      <c r="BB54" s="40"/>
      <c r="BC54" s="40"/>
      <c r="BD54" s="40"/>
      <c r="BE54" s="40"/>
      <c r="BF54" s="208"/>
      <c r="BG54" s="179"/>
      <c r="BH54" s="40"/>
      <c r="BI54" s="40"/>
      <c r="BJ54" s="40"/>
      <c r="BK54" s="40"/>
      <c r="BL54" s="208"/>
    </row>
    <row r="55" spans="1:64" ht="16.5" thickBot="1" x14ac:dyDescent="0.3">
      <c r="A55" s="89" t="s">
        <v>26</v>
      </c>
      <c r="B55" s="99" t="s">
        <v>196</v>
      </c>
      <c r="C55" s="141"/>
      <c r="D55" s="11" t="s">
        <v>207</v>
      </c>
      <c r="E55" s="437"/>
      <c r="F55" s="169">
        <v>144</v>
      </c>
      <c r="G55" s="439"/>
      <c r="H55" s="435">
        <f t="shared" si="20"/>
        <v>144</v>
      </c>
      <c r="I55" s="438"/>
      <c r="J55" s="142"/>
      <c r="K55" s="426">
        <v>144</v>
      </c>
      <c r="L55" s="428">
        <f t="shared" si="21"/>
        <v>0</v>
      </c>
      <c r="M55" s="438"/>
      <c r="N55" s="142"/>
      <c r="O55" s="142"/>
      <c r="P55" s="143"/>
      <c r="Q55" s="196"/>
      <c r="R55" s="45"/>
      <c r="S55" s="45"/>
      <c r="T55" s="45"/>
      <c r="U55" s="45"/>
      <c r="V55" s="214"/>
      <c r="W55" s="181"/>
      <c r="X55" s="6"/>
      <c r="Y55" s="6"/>
      <c r="Z55" s="6"/>
      <c r="AA55" s="6"/>
      <c r="AB55" s="209"/>
      <c r="AC55" s="195"/>
      <c r="AD55" s="160"/>
      <c r="AE55" s="160"/>
      <c r="AF55" s="160"/>
      <c r="AG55" s="160"/>
      <c r="AH55" s="215"/>
      <c r="AI55" s="184"/>
      <c r="AJ55" s="74"/>
      <c r="AK55" s="74"/>
      <c r="AL55" s="74"/>
      <c r="AM55" s="74"/>
      <c r="AN55" s="219"/>
      <c r="AO55" s="194">
        <v>108</v>
      </c>
      <c r="AP55" s="74"/>
      <c r="AQ55" s="74"/>
      <c r="AR55" s="74"/>
      <c r="AS55" s="6">
        <v>108</v>
      </c>
      <c r="AT55" s="219"/>
      <c r="AU55" s="194">
        <v>36</v>
      </c>
      <c r="AV55" s="6"/>
      <c r="AW55" s="6"/>
      <c r="AX55" s="6"/>
      <c r="AY55" s="6">
        <v>36</v>
      </c>
      <c r="AZ55" s="209"/>
      <c r="BA55" s="181"/>
      <c r="BB55" s="6"/>
      <c r="BC55" s="6"/>
      <c r="BD55" s="6"/>
      <c r="BE55" s="6"/>
      <c r="BF55" s="209"/>
      <c r="BG55" s="181"/>
      <c r="BH55" s="6"/>
      <c r="BI55" s="6"/>
      <c r="BJ55" s="6"/>
      <c r="BK55" s="6"/>
      <c r="BL55" s="209"/>
    </row>
    <row r="56" spans="1:64" ht="5.25" customHeight="1" thickBot="1" x14ac:dyDescent="0.25">
      <c r="A56" s="90"/>
      <c r="B56" s="294"/>
      <c r="C56" s="144"/>
      <c r="D56" s="13"/>
      <c r="E56" s="145"/>
      <c r="F56" s="429"/>
      <c r="G56" s="431"/>
      <c r="H56" s="436"/>
      <c r="L56" s="468"/>
      <c r="M56" s="51"/>
      <c r="N56" s="39"/>
      <c r="O56" s="39"/>
      <c r="P56" s="83"/>
      <c r="Q56" s="182"/>
      <c r="R56" s="120"/>
      <c r="S56" s="120"/>
      <c r="T56" s="120"/>
      <c r="U56" s="120"/>
      <c r="V56" s="425"/>
      <c r="W56" s="180"/>
      <c r="X56" s="43"/>
      <c r="Y56" s="43"/>
      <c r="Z56" s="43"/>
      <c r="AA56" s="43"/>
      <c r="AB56" s="210"/>
      <c r="AC56" s="193"/>
      <c r="AD56" s="120"/>
      <c r="AE56" s="120"/>
      <c r="AF56" s="120"/>
      <c r="AG56" s="120"/>
      <c r="AH56" s="425"/>
      <c r="AI56" s="182"/>
      <c r="AJ56" s="120"/>
      <c r="AK56" s="120"/>
      <c r="AL56" s="120"/>
      <c r="AM56" s="120"/>
      <c r="AN56" s="463"/>
      <c r="AO56" s="193"/>
      <c r="AP56" s="120"/>
      <c r="AQ56" s="120"/>
      <c r="AR56" s="120"/>
      <c r="AS56" s="120"/>
      <c r="AT56" s="425"/>
      <c r="AU56" s="193"/>
      <c r="AV56" s="120"/>
      <c r="AW56" s="120"/>
      <c r="AX56" s="120"/>
      <c r="AY56" s="120"/>
      <c r="AZ56" s="425"/>
      <c r="BA56" s="180"/>
      <c r="BB56" s="43"/>
      <c r="BC56" s="43"/>
      <c r="BD56" s="43"/>
      <c r="BE56" s="43"/>
      <c r="BF56" s="210"/>
      <c r="BG56" s="180"/>
      <c r="BH56" s="43"/>
      <c r="BI56" s="43"/>
      <c r="BJ56" s="43"/>
      <c r="BK56" s="43"/>
      <c r="BL56" s="210"/>
    </row>
    <row r="57" spans="1:64" ht="16.5" thickBot="1" x14ac:dyDescent="0.25">
      <c r="A57" s="168" t="s">
        <v>20</v>
      </c>
      <c r="B57" s="295" t="s">
        <v>177</v>
      </c>
      <c r="C57" s="474" t="s">
        <v>209</v>
      </c>
      <c r="D57" s="475">
        <v>4</v>
      </c>
      <c r="E57" s="476"/>
      <c r="F57" s="168">
        <f>SUM(F58:F63)</f>
        <v>1216</v>
      </c>
      <c r="G57" s="168">
        <f>SUM(G58:G63)</f>
        <v>36</v>
      </c>
      <c r="H57" s="460">
        <f>SUM(H58:H63)</f>
        <v>1180</v>
      </c>
      <c r="I57" s="443">
        <f t="shared" ref="I57:AZ57" si="22">SUM(I58:I63)</f>
        <v>32</v>
      </c>
      <c r="J57" s="313">
        <f t="shared" si="22"/>
        <v>20</v>
      </c>
      <c r="K57" s="444">
        <f>SUM(K62:K63)</f>
        <v>432</v>
      </c>
      <c r="L57" s="472">
        <f t="shared" si="22"/>
        <v>696</v>
      </c>
      <c r="M57" s="443">
        <f t="shared" si="22"/>
        <v>196</v>
      </c>
      <c r="N57" s="313">
        <f t="shared" si="22"/>
        <v>500</v>
      </c>
      <c r="O57" s="313">
        <f t="shared" si="22"/>
        <v>0</v>
      </c>
      <c r="P57" s="313">
        <f t="shared" si="22"/>
        <v>0</v>
      </c>
      <c r="Q57" s="313"/>
      <c r="R57" s="313"/>
      <c r="S57" s="313"/>
      <c r="T57" s="313"/>
      <c r="U57" s="313"/>
      <c r="V57" s="313"/>
      <c r="W57" s="313"/>
      <c r="X57" s="313"/>
      <c r="Y57" s="313"/>
      <c r="Z57" s="313"/>
      <c r="AA57" s="313"/>
      <c r="AB57" s="313"/>
      <c r="AC57" s="313"/>
      <c r="AD57" s="313"/>
      <c r="AE57" s="313"/>
      <c r="AF57" s="313"/>
      <c r="AG57" s="313"/>
      <c r="AH57" s="313"/>
      <c r="AI57" s="313"/>
      <c r="AJ57" s="313"/>
      <c r="AK57" s="313"/>
      <c r="AL57" s="313"/>
      <c r="AM57" s="313"/>
      <c r="AN57" s="313"/>
      <c r="AO57" s="313">
        <f t="shared" si="22"/>
        <v>320</v>
      </c>
      <c r="AP57" s="313">
        <f t="shared" si="22"/>
        <v>12</v>
      </c>
      <c r="AQ57" s="313"/>
      <c r="AR57" s="313"/>
      <c r="AS57" s="313"/>
      <c r="AT57" s="313">
        <f t="shared" si="22"/>
        <v>308</v>
      </c>
      <c r="AU57" s="313">
        <f t="shared" si="22"/>
        <v>532</v>
      </c>
      <c r="AV57" s="313">
        <f t="shared" si="22"/>
        <v>24</v>
      </c>
      <c r="AW57" s="313">
        <f t="shared" si="22"/>
        <v>8</v>
      </c>
      <c r="AX57" s="313">
        <f t="shared" si="22"/>
        <v>8</v>
      </c>
      <c r="AY57" s="313">
        <f t="shared" si="22"/>
        <v>360</v>
      </c>
      <c r="AZ57" s="313">
        <f t="shared" si="22"/>
        <v>132</v>
      </c>
      <c r="BA57" s="313">
        <f>SUM(BA58:BA63)</f>
        <v>364</v>
      </c>
      <c r="BB57" s="313">
        <f>SUM(BB58:BB63)</f>
        <v>12</v>
      </c>
      <c r="BC57" s="313">
        <f>SUM(BC58:BC63)</f>
        <v>24</v>
      </c>
      <c r="BD57" s="313"/>
      <c r="BE57" s="313">
        <f>SUM(BE58:BE63)</f>
        <v>72</v>
      </c>
      <c r="BF57" s="313">
        <f>SUM(BF58:BF63)</f>
        <v>256</v>
      </c>
      <c r="BG57" s="313"/>
      <c r="BH57" s="313"/>
      <c r="BI57" s="313"/>
      <c r="BJ57" s="313"/>
      <c r="BK57" s="313"/>
      <c r="BL57" s="444"/>
    </row>
    <row r="58" spans="1:64" ht="15.75" x14ac:dyDescent="0.2">
      <c r="A58" s="119" t="s">
        <v>21</v>
      </c>
      <c r="B58" s="445" t="s">
        <v>178</v>
      </c>
      <c r="C58" s="150"/>
      <c r="D58" s="453">
        <v>5</v>
      </c>
      <c r="E58" s="454"/>
      <c r="F58" s="449">
        <f>SUM(G58:H58)</f>
        <v>174</v>
      </c>
      <c r="G58" s="431">
        <v>10</v>
      </c>
      <c r="H58" s="434">
        <v>164</v>
      </c>
      <c r="I58" s="52">
        <v>8</v>
      </c>
      <c r="J58" s="12">
        <v>8</v>
      </c>
      <c r="K58" s="70"/>
      <c r="L58" s="428">
        <f>SUM(AH58+AN58+AT58+AZ58+BF58+BL58)</f>
        <v>148</v>
      </c>
      <c r="M58" s="52">
        <v>48</v>
      </c>
      <c r="N58" s="12">
        <v>100</v>
      </c>
      <c r="O58" s="12"/>
      <c r="P58" s="70"/>
      <c r="Q58" s="192"/>
      <c r="R58" s="40"/>
      <c r="S58" s="40"/>
      <c r="T58" s="40"/>
      <c r="U58" s="40"/>
      <c r="V58" s="208"/>
      <c r="W58" s="179"/>
      <c r="X58" s="40"/>
      <c r="Y58" s="40"/>
      <c r="Z58" s="40"/>
      <c r="AA58" s="40"/>
      <c r="AB58" s="208"/>
      <c r="AC58" s="179"/>
      <c r="AD58" s="40"/>
      <c r="AE58" s="40"/>
      <c r="AF58" s="40"/>
      <c r="AG58" s="40"/>
      <c r="AH58" s="208"/>
      <c r="AI58" s="179"/>
      <c r="AJ58" s="40"/>
      <c r="AK58" s="40"/>
      <c r="AL58" s="40"/>
      <c r="AM58" s="40"/>
      <c r="AN58" s="208"/>
      <c r="AO58" s="208">
        <v>116</v>
      </c>
      <c r="AP58" s="40">
        <v>4</v>
      </c>
      <c r="AQ58" s="40"/>
      <c r="AR58" s="40"/>
      <c r="AS58" s="40"/>
      <c r="AT58" s="208">
        <v>112</v>
      </c>
      <c r="AU58" s="208">
        <f>SUM(AV58:AZ58)</f>
        <v>58</v>
      </c>
      <c r="AV58" s="40">
        <v>6</v>
      </c>
      <c r="AW58" s="40">
        <v>8</v>
      </c>
      <c r="AX58" s="40">
        <v>8</v>
      </c>
      <c r="AY58" s="40"/>
      <c r="AZ58" s="208">
        <v>36</v>
      </c>
      <c r="BA58" s="179"/>
      <c r="BB58" s="40"/>
      <c r="BC58" s="40"/>
      <c r="BD58" s="40"/>
      <c r="BE58" s="40"/>
      <c r="BF58" s="208"/>
      <c r="BG58" s="179"/>
      <c r="BH58" s="40"/>
      <c r="BI58" s="40"/>
      <c r="BJ58" s="40"/>
      <c r="BK58" s="40"/>
      <c r="BL58" s="208"/>
    </row>
    <row r="59" spans="1:64" ht="15.75" x14ac:dyDescent="0.2">
      <c r="A59" s="91" t="s">
        <v>27</v>
      </c>
      <c r="B59" s="446" t="s">
        <v>179</v>
      </c>
      <c r="C59" s="140">
        <v>7</v>
      </c>
      <c r="D59" s="11">
        <v>5</v>
      </c>
      <c r="E59" s="455"/>
      <c r="F59" s="449">
        <f t="shared" ref="F59:F63" si="23">SUM(G59:H59)</f>
        <v>242</v>
      </c>
      <c r="G59" s="431">
        <v>10</v>
      </c>
      <c r="H59" s="435">
        <v>232</v>
      </c>
      <c r="I59" s="52">
        <v>8</v>
      </c>
      <c r="J59" s="12">
        <v>4</v>
      </c>
      <c r="K59" s="70"/>
      <c r="L59" s="428">
        <f t="shared" ref="L59:L63" si="24">SUM(AH59+AN59+AT59+AZ59+BF59+BL59)</f>
        <v>220</v>
      </c>
      <c r="M59" s="52">
        <v>60</v>
      </c>
      <c r="N59" s="10">
        <v>160</v>
      </c>
      <c r="O59" s="10"/>
      <c r="P59" s="426"/>
      <c r="Q59" s="194"/>
      <c r="R59" s="6"/>
      <c r="S59" s="6"/>
      <c r="T59" s="6"/>
      <c r="U59" s="6"/>
      <c r="V59" s="209"/>
      <c r="W59" s="181"/>
      <c r="X59" s="6"/>
      <c r="Y59" s="6"/>
      <c r="Z59" s="6"/>
      <c r="AA59" s="6"/>
      <c r="AB59" s="209"/>
      <c r="AC59" s="179"/>
      <c r="AD59" s="6"/>
      <c r="AE59" s="6"/>
      <c r="AF59" s="6"/>
      <c r="AG59" s="6"/>
      <c r="AH59" s="209"/>
      <c r="AI59" s="179"/>
      <c r="AJ59" s="6"/>
      <c r="AK59" s="6"/>
      <c r="AL59" s="6"/>
      <c r="AM59" s="43"/>
      <c r="AN59" s="209"/>
      <c r="AO59" s="209">
        <v>116</v>
      </c>
      <c r="AP59" s="6">
        <v>4</v>
      </c>
      <c r="AQ59" s="6"/>
      <c r="AR59" s="6"/>
      <c r="AS59" s="6"/>
      <c r="AT59" s="209">
        <v>112</v>
      </c>
      <c r="AU59" s="208">
        <f t="shared" ref="AU59:AU63" si="25">SUM(AV59:AZ59)</f>
        <v>42</v>
      </c>
      <c r="AV59" s="6">
        <v>6</v>
      </c>
      <c r="AW59" s="6"/>
      <c r="AX59" s="6"/>
      <c r="AY59" s="6"/>
      <c r="AZ59" s="209">
        <v>36</v>
      </c>
      <c r="BA59" s="179">
        <f t="shared" ref="BA59:BA63" si="26">SUM(BB59:BF59)</f>
        <v>84</v>
      </c>
      <c r="BB59" s="6">
        <v>4</v>
      </c>
      <c r="BC59" s="6">
        <v>8</v>
      </c>
      <c r="BD59" s="6"/>
      <c r="BE59" s="6"/>
      <c r="BF59" s="209">
        <v>72</v>
      </c>
      <c r="BG59" s="181"/>
      <c r="BH59" s="6"/>
      <c r="BI59" s="6"/>
      <c r="BJ59" s="6"/>
      <c r="BK59" s="6"/>
      <c r="BL59" s="209"/>
    </row>
    <row r="60" spans="1:64" ht="15.75" x14ac:dyDescent="0.2">
      <c r="A60" s="91" t="s">
        <v>180</v>
      </c>
      <c r="B60" s="447" t="s">
        <v>181</v>
      </c>
      <c r="C60" s="140">
        <v>7</v>
      </c>
      <c r="D60" s="11">
        <v>5</v>
      </c>
      <c r="E60" s="455"/>
      <c r="F60" s="449">
        <f t="shared" si="23"/>
        <v>202</v>
      </c>
      <c r="G60" s="431">
        <v>10</v>
      </c>
      <c r="H60" s="435">
        <v>192</v>
      </c>
      <c r="I60" s="52">
        <v>8</v>
      </c>
      <c r="J60" s="12">
        <v>4</v>
      </c>
      <c r="K60" s="70"/>
      <c r="L60" s="428">
        <f t="shared" si="24"/>
        <v>180</v>
      </c>
      <c r="M60" s="52">
        <v>40</v>
      </c>
      <c r="N60" s="42">
        <v>140</v>
      </c>
      <c r="O60" s="42"/>
      <c r="P60" s="72"/>
      <c r="Q60" s="194"/>
      <c r="R60" s="6"/>
      <c r="S60" s="6"/>
      <c r="T60" s="6"/>
      <c r="U60" s="6"/>
      <c r="V60" s="209"/>
      <c r="W60" s="181"/>
      <c r="X60" s="6"/>
      <c r="Y60" s="6"/>
      <c r="Z60" s="6"/>
      <c r="AA60" s="6"/>
      <c r="AB60" s="209"/>
      <c r="AC60" s="179"/>
      <c r="AD60" s="6"/>
      <c r="AE60" s="6"/>
      <c r="AF60" s="6"/>
      <c r="AG60" s="6"/>
      <c r="AH60" s="209"/>
      <c r="AI60" s="179"/>
      <c r="AJ60" s="6"/>
      <c r="AK60" s="6"/>
      <c r="AL60" s="64"/>
      <c r="AM60" s="43"/>
      <c r="AN60" s="220"/>
      <c r="AO60" s="218">
        <v>88</v>
      </c>
      <c r="AP60" s="43">
        <v>4</v>
      </c>
      <c r="AQ60" s="43"/>
      <c r="AR60" s="43"/>
      <c r="AS60" s="43"/>
      <c r="AT60" s="218">
        <v>84</v>
      </c>
      <c r="AU60" s="208">
        <f t="shared" si="25"/>
        <v>30</v>
      </c>
      <c r="AV60" s="43">
        <v>6</v>
      </c>
      <c r="AW60" s="43"/>
      <c r="AX60" s="43"/>
      <c r="AY60" s="43"/>
      <c r="AZ60" s="210">
        <v>24</v>
      </c>
      <c r="BA60" s="179">
        <f t="shared" si="26"/>
        <v>84</v>
      </c>
      <c r="BB60" s="6">
        <v>4</v>
      </c>
      <c r="BC60" s="6">
        <v>8</v>
      </c>
      <c r="BD60" s="6"/>
      <c r="BE60" s="6"/>
      <c r="BF60" s="209">
        <v>72</v>
      </c>
      <c r="BG60" s="181"/>
      <c r="BH60" s="6"/>
      <c r="BI60" s="6"/>
      <c r="BJ60" s="6"/>
      <c r="BK60" s="6"/>
      <c r="BL60" s="209"/>
    </row>
    <row r="61" spans="1:64" ht="15.75" x14ac:dyDescent="0.2">
      <c r="A61" s="91" t="s">
        <v>182</v>
      </c>
      <c r="B61" s="447" t="s">
        <v>183</v>
      </c>
      <c r="C61" s="140">
        <v>7</v>
      </c>
      <c r="D61" s="11">
        <v>6</v>
      </c>
      <c r="E61" s="455"/>
      <c r="F61" s="449">
        <f t="shared" si="23"/>
        <v>166</v>
      </c>
      <c r="G61" s="431">
        <v>6</v>
      </c>
      <c r="H61" s="435">
        <v>160</v>
      </c>
      <c r="I61" s="52">
        <v>8</v>
      </c>
      <c r="J61" s="12">
        <v>4</v>
      </c>
      <c r="K61" s="70"/>
      <c r="L61" s="428">
        <f t="shared" si="24"/>
        <v>148</v>
      </c>
      <c r="M61" s="52">
        <v>48</v>
      </c>
      <c r="N61" s="42">
        <v>100</v>
      </c>
      <c r="O61" s="42"/>
      <c r="P61" s="72"/>
      <c r="Q61" s="194"/>
      <c r="R61" s="6"/>
      <c r="S61" s="6"/>
      <c r="T61" s="6"/>
      <c r="U61" s="6"/>
      <c r="V61" s="209"/>
      <c r="W61" s="181"/>
      <c r="X61" s="6"/>
      <c r="Y61" s="6"/>
      <c r="Z61" s="6"/>
      <c r="AA61" s="6"/>
      <c r="AB61" s="209"/>
      <c r="AC61" s="179"/>
      <c r="AD61" s="6"/>
      <c r="AE61" s="6"/>
      <c r="AF61" s="6"/>
      <c r="AG61" s="6"/>
      <c r="AH61" s="209"/>
      <c r="AI61" s="179"/>
      <c r="AJ61" s="6"/>
      <c r="AK61" s="6"/>
      <c r="AL61" s="64"/>
      <c r="AM61" s="43"/>
      <c r="AN61" s="220"/>
      <c r="AO61" s="210"/>
      <c r="AP61" s="43"/>
      <c r="AQ61" s="43"/>
      <c r="AR61" s="43"/>
      <c r="AS61" s="43"/>
      <c r="AT61" s="218"/>
      <c r="AU61" s="208">
        <f t="shared" si="25"/>
        <v>42</v>
      </c>
      <c r="AV61" s="43">
        <v>6</v>
      </c>
      <c r="AW61" s="43"/>
      <c r="AX61" s="43"/>
      <c r="AY61" s="43"/>
      <c r="AZ61" s="210">
        <v>36</v>
      </c>
      <c r="BA61" s="179">
        <f t="shared" si="26"/>
        <v>124</v>
      </c>
      <c r="BB61" s="6">
        <v>4</v>
      </c>
      <c r="BC61" s="6">
        <v>8</v>
      </c>
      <c r="BD61" s="6"/>
      <c r="BE61" s="6"/>
      <c r="BF61" s="209">
        <v>112</v>
      </c>
      <c r="BG61" s="181"/>
      <c r="BH61" s="6"/>
      <c r="BI61" s="6"/>
      <c r="BJ61" s="6"/>
      <c r="BK61" s="6"/>
      <c r="BL61" s="209"/>
    </row>
    <row r="62" spans="1:64" ht="15.75" x14ac:dyDescent="0.2">
      <c r="A62" s="60" t="s">
        <v>48</v>
      </c>
      <c r="B62" s="448" t="s">
        <v>194</v>
      </c>
      <c r="C62" s="140"/>
      <c r="D62" s="11" t="s">
        <v>207</v>
      </c>
      <c r="E62" s="455"/>
      <c r="F62" s="449">
        <f t="shared" si="23"/>
        <v>180</v>
      </c>
      <c r="G62" s="433"/>
      <c r="H62" s="435">
        <f t="shared" ref="H62:H63" si="27">SUM(AO62+AU62+BA62)</f>
        <v>180</v>
      </c>
      <c r="I62" s="98"/>
      <c r="J62" s="10"/>
      <c r="K62" s="426">
        <v>180</v>
      </c>
      <c r="L62" s="428">
        <f t="shared" si="24"/>
        <v>0</v>
      </c>
      <c r="M62" s="98"/>
      <c r="N62" s="42"/>
      <c r="O62" s="42"/>
      <c r="P62" s="72"/>
      <c r="Q62" s="194"/>
      <c r="R62" s="6"/>
      <c r="S62" s="6"/>
      <c r="T62" s="6"/>
      <c r="U62" s="6"/>
      <c r="V62" s="209"/>
      <c r="W62" s="181"/>
      <c r="X62" s="6"/>
      <c r="Y62" s="6"/>
      <c r="Z62" s="6"/>
      <c r="AA62" s="6"/>
      <c r="AB62" s="209"/>
      <c r="AC62" s="179"/>
      <c r="AD62" s="6"/>
      <c r="AE62" s="6"/>
      <c r="AF62" s="6"/>
      <c r="AG62" s="6"/>
      <c r="AH62" s="209"/>
      <c r="AI62" s="179"/>
      <c r="AJ62" s="6"/>
      <c r="AK62" s="6"/>
      <c r="AL62" s="64"/>
      <c r="AM62" s="6"/>
      <c r="AN62" s="220"/>
      <c r="AO62" s="194"/>
      <c r="AP62" s="43"/>
      <c r="AQ62" s="43"/>
      <c r="AR62" s="43"/>
      <c r="AS62" s="43"/>
      <c r="AT62" s="218"/>
      <c r="AU62" s="208">
        <f t="shared" si="25"/>
        <v>180</v>
      </c>
      <c r="AV62" s="43"/>
      <c r="AW62" s="43"/>
      <c r="AX62" s="43"/>
      <c r="AY62" s="43">
        <v>180</v>
      </c>
      <c r="AZ62" s="210"/>
      <c r="BA62" s="179"/>
      <c r="BB62" s="6"/>
      <c r="BC62" s="6"/>
      <c r="BD62" s="6"/>
      <c r="BE62" s="6"/>
      <c r="BF62" s="209"/>
      <c r="BG62" s="181"/>
      <c r="BH62" s="6"/>
      <c r="BI62" s="6"/>
      <c r="BJ62" s="6"/>
      <c r="BK62" s="6"/>
      <c r="BL62" s="209"/>
    </row>
    <row r="63" spans="1:64" ht="16.5" thickBot="1" x14ac:dyDescent="0.3">
      <c r="A63" s="92" t="s">
        <v>28</v>
      </c>
      <c r="B63" s="456" t="s">
        <v>196</v>
      </c>
      <c r="C63" s="457"/>
      <c r="D63" s="146" t="s">
        <v>209</v>
      </c>
      <c r="E63" s="458"/>
      <c r="F63" s="450">
        <f t="shared" si="23"/>
        <v>252</v>
      </c>
      <c r="G63" s="432"/>
      <c r="H63" s="440">
        <f t="shared" si="27"/>
        <v>252</v>
      </c>
      <c r="I63" s="51"/>
      <c r="J63" s="39"/>
      <c r="K63" s="467">
        <v>252</v>
      </c>
      <c r="L63" s="428">
        <f t="shared" si="24"/>
        <v>0</v>
      </c>
      <c r="M63" s="51"/>
      <c r="N63" s="42"/>
      <c r="O63" s="42"/>
      <c r="P63" s="72"/>
      <c r="Q63" s="297"/>
      <c r="R63" s="43"/>
      <c r="S63" s="43"/>
      <c r="T63" s="43"/>
      <c r="U63" s="43"/>
      <c r="V63" s="210"/>
      <c r="W63" s="180"/>
      <c r="X63" s="43"/>
      <c r="Y63" s="43"/>
      <c r="Z63" s="43"/>
      <c r="AA63" s="43"/>
      <c r="AB63" s="210"/>
      <c r="AC63" s="297"/>
      <c r="AD63" s="43"/>
      <c r="AE63" s="43"/>
      <c r="AF63" s="43"/>
      <c r="AG63" s="43"/>
      <c r="AH63" s="210"/>
      <c r="AI63" s="182"/>
      <c r="AJ63" s="43"/>
      <c r="AK63" s="43"/>
      <c r="AL63" s="43"/>
      <c r="AM63" s="120"/>
      <c r="AN63" s="210"/>
      <c r="AO63" s="193"/>
      <c r="AP63" s="43"/>
      <c r="AQ63" s="43"/>
      <c r="AR63" s="43"/>
      <c r="AS63" s="43"/>
      <c r="AT63" s="218"/>
      <c r="AU63" s="425">
        <f t="shared" si="25"/>
        <v>180</v>
      </c>
      <c r="AV63" s="43"/>
      <c r="AW63" s="43"/>
      <c r="AX63" s="43"/>
      <c r="AY63" s="43">
        <v>180</v>
      </c>
      <c r="AZ63" s="210"/>
      <c r="BA63" s="182">
        <f t="shared" si="26"/>
        <v>72</v>
      </c>
      <c r="BB63" s="43"/>
      <c r="BC63" s="43"/>
      <c r="BD63" s="43"/>
      <c r="BE63" s="43">
        <v>72</v>
      </c>
      <c r="BF63" s="210"/>
      <c r="BG63" s="180"/>
      <c r="BH63" s="43"/>
      <c r="BI63" s="43"/>
      <c r="BJ63" s="43"/>
      <c r="BK63" s="43"/>
      <c r="BL63" s="210"/>
    </row>
    <row r="64" spans="1:64" ht="29.25" customHeight="1" thickBot="1" x14ac:dyDescent="0.25">
      <c r="A64" s="481" t="s">
        <v>22</v>
      </c>
      <c r="B64" s="459" t="s">
        <v>184</v>
      </c>
      <c r="C64" s="482" t="s">
        <v>208</v>
      </c>
      <c r="D64" s="479">
        <v>2</v>
      </c>
      <c r="E64" s="483"/>
      <c r="F64" s="451">
        <f>SUM(F65:F68)</f>
        <v>359</v>
      </c>
      <c r="G64" s="313">
        <f t="shared" ref="G64:BL64" si="28">SUM(G65:G67)</f>
        <v>22</v>
      </c>
      <c r="H64" s="313">
        <f>SUM(H65:H68)</f>
        <v>337</v>
      </c>
      <c r="I64" s="313">
        <f t="shared" si="28"/>
        <v>8</v>
      </c>
      <c r="J64" s="313">
        <f t="shared" si="28"/>
        <v>10</v>
      </c>
      <c r="K64" s="313">
        <f>SUM(K66:K67)</f>
        <v>72</v>
      </c>
      <c r="L64" s="313">
        <f t="shared" si="28"/>
        <v>247</v>
      </c>
      <c r="M64" s="313">
        <f t="shared" si="28"/>
        <v>97</v>
      </c>
      <c r="N64" s="313">
        <f t="shared" si="28"/>
        <v>150</v>
      </c>
      <c r="O64" s="313">
        <f t="shared" si="28"/>
        <v>0</v>
      </c>
      <c r="P64" s="313">
        <f t="shared" si="28"/>
        <v>0</v>
      </c>
      <c r="Q64" s="313"/>
      <c r="R64" s="313"/>
      <c r="S64" s="313"/>
      <c r="T64" s="313"/>
      <c r="U64" s="313"/>
      <c r="V64" s="313"/>
      <c r="W64" s="313"/>
      <c r="X64" s="313"/>
      <c r="Y64" s="313"/>
      <c r="Z64" s="313"/>
      <c r="AA64" s="313"/>
      <c r="AB64" s="313"/>
      <c r="AC64" s="313"/>
      <c r="AD64" s="313"/>
      <c r="AE64" s="313"/>
      <c r="AF64" s="313"/>
      <c r="AG64" s="313"/>
      <c r="AH64" s="313"/>
      <c r="AI64" s="313"/>
      <c r="AJ64" s="313"/>
      <c r="AK64" s="313"/>
      <c r="AL64" s="313"/>
      <c r="AM64" s="313"/>
      <c r="AN64" s="313"/>
      <c r="AO64" s="313"/>
      <c r="AP64" s="313"/>
      <c r="AQ64" s="313"/>
      <c r="AR64" s="313"/>
      <c r="AS64" s="313"/>
      <c r="AT64" s="313"/>
      <c r="AU64" s="313">
        <f t="shared" si="28"/>
        <v>94</v>
      </c>
      <c r="AV64" s="313">
        <f t="shared" si="28"/>
        <v>10</v>
      </c>
      <c r="AW64" s="313"/>
      <c r="AX64" s="313"/>
      <c r="AY64" s="313"/>
      <c r="AZ64" s="313">
        <f t="shared" si="28"/>
        <v>84</v>
      </c>
      <c r="BA64" s="313">
        <f>SUM(BA65:BA68)</f>
        <v>76</v>
      </c>
      <c r="BB64" s="313">
        <f t="shared" ref="BB64:BF64" si="29">SUM(BB65:BB68)</f>
        <v>4</v>
      </c>
      <c r="BC64" s="313"/>
      <c r="BD64" s="313"/>
      <c r="BE64" s="313"/>
      <c r="BF64" s="313">
        <f t="shared" si="29"/>
        <v>72</v>
      </c>
      <c r="BG64" s="313">
        <f>SUM(BG65:BG68)</f>
        <v>189</v>
      </c>
      <c r="BH64" s="313">
        <f t="shared" ref="BH64:BJ64" si="30">SUM(BH65:BH68)</f>
        <v>8</v>
      </c>
      <c r="BI64" s="313">
        <f t="shared" si="30"/>
        <v>8</v>
      </c>
      <c r="BJ64" s="313">
        <f t="shared" si="30"/>
        <v>10</v>
      </c>
      <c r="BK64" s="313">
        <f t="shared" si="28"/>
        <v>72</v>
      </c>
      <c r="BL64" s="444">
        <f t="shared" si="28"/>
        <v>91</v>
      </c>
    </row>
    <row r="65" spans="1:64" ht="51" customHeight="1" x14ac:dyDescent="0.2">
      <c r="A65" s="123" t="s">
        <v>185</v>
      </c>
      <c r="B65" s="235" t="s">
        <v>186</v>
      </c>
      <c r="C65" s="452">
        <v>8</v>
      </c>
      <c r="D65" s="40">
        <v>6.7</v>
      </c>
      <c r="E65" s="101"/>
      <c r="F65" s="315">
        <v>287</v>
      </c>
      <c r="G65" s="52">
        <f>SUM(AV65,BB65,BH65)</f>
        <v>22</v>
      </c>
      <c r="H65" s="229">
        <v>265</v>
      </c>
      <c r="I65" s="12">
        <v>8</v>
      </c>
      <c r="J65" s="12">
        <v>10</v>
      </c>
      <c r="K65" s="122"/>
      <c r="L65" s="199">
        <f>SUM((AH65+AN65+AT65+AZ65+BF65+BL65))</f>
        <v>247</v>
      </c>
      <c r="M65" s="12">
        <v>97</v>
      </c>
      <c r="N65" s="12">
        <v>150</v>
      </c>
      <c r="O65" s="12"/>
      <c r="P65" s="147"/>
      <c r="Q65" s="441"/>
      <c r="R65" s="160"/>
      <c r="S65" s="160"/>
      <c r="T65" s="160"/>
      <c r="U65" s="160"/>
      <c r="V65" s="212"/>
      <c r="W65" s="195"/>
      <c r="X65" s="160"/>
      <c r="Y65" s="160"/>
      <c r="Z65" s="160"/>
      <c r="AA65" s="160"/>
      <c r="AB65" s="215"/>
      <c r="AC65" s="179"/>
      <c r="AD65" s="40"/>
      <c r="AE65" s="160"/>
      <c r="AF65" s="40"/>
      <c r="AG65" s="160"/>
      <c r="AH65" s="208"/>
      <c r="AI65" s="179"/>
      <c r="AJ65" s="40"/>
      <c r="AK65" s="160"/>
      <c r="AL65" s="40"/>
      <c r="AM65" s="160"/>
      <c r="AN65" s="208"/>
      <c r="AO65" s="197"/>
      <c r="AP65" s="160"/>
      <c r="AQ65" s="160"/>
      <c r="AR65" s="160"/>
      <c r="AS65" s="160"/>
      <c r="AT65" s="212"/>
      <c r="AU65" s="192">
        <v>94</v>
      </c>
      <c r="AV65" s="40">
        <v>10</v>
      </c>
      <c r="AW65" s="40"/>
      <c r="AX65" s="40"/>
      <c r="AY65" s="40"/>
      <c r="AZ65" s="208">
        <v>84</v>
      </c>
      <c r="BA65" s="442">
        <v>76</v>
      </c>
      <c r="BB65" s="40">
        <v>4</v>
      </c>
      <c r="BC65" s="40"/>
      <c r="BD65" s="40"/>
      <c r="BE65" s="40"/>
      <c r="BF65" s="216">
        <v>72</v>
      </c>
      <c r="BG65" s="192">
        <v>117</v>
      </c>
      <c r="BH65" s="40">
        <v>8</v>
      </c>
      <c r="BI65" s="40">
        <v>8</v>
      </c>
      <c r="BJ65" s="40">
        <v>10</v>
      </c>
      <c r="BK65" s="40"/>
      <c r="BL65" s="208">
        <v>91</v>
      </c>
    </row>
    <row r="66" spans="1:64" ht="15.75" hidden="1" customHeight="1" x14ac:dyDescent="0.2">
      <c r="A66" s="8" t="s">
        <v>86</v>
      </c>
      <c r="B66" s="138" t="s">
        <v>194</v>
      </c>
      <c r="C66" s="149"/>
      <c r="D66" s="13"/>
      <c r="E66" s="145"/>
      <c r="F66" s="315">
        <f t="shared" ref="F66:H66" si="31">SUM(AA66+AG66+AM66+AS66+AY66+BE66)</f>
        <v>0</v>
      </c>
      <c r="G66" s="52"/>
      <c r="H66" s="229">
        <f t="shared" si="31"/>
        <v>0</v>
      </c>
      <c r="I66" s="122"/>
      <c r="J66" s="122"/>
      <c r="K66" s="12"/>
      <c r="L66" s="199">
        <f t="shared" ref="L66" si="32">SUM((AH66+AN66+AT66+AZ66+BF66+BL66))</f>
        <v>0</v>
      </c>
      <c r="M66" s="12"/>
      <c r="N66" s="12"/>
      <c r="O66" s="12"/>
      <c r="P66" s="147"/>
      <c r="Q66" s="184"/>
      <c r="R66" s="160"/>
      <c r="S66" s="160"/>
      <c r="T66" s="160"/>
      <c r="U66" s="160"/>
      <c r="V66" s="212"/>
      <c r="W66" s="184"/>
      <c r="X66" s="160"/>
      <c r="Y66" s="160"/>
      <c r="Z66" s="160"/>
      <c r="AA66" s="160"/>
      <c r="AB66" s="215"/>
      <c r="AC66" s="181"/>
      <c r="AD66" s="40"/>
      <c r="AE66" s="160"/>
      <c r="AF66" s="40"/>
      <c r="AG66" s="160"/>
      <c r="AH66" s="208"/>
      <c r="AI66" s="179"/>
      <c r="AJ66" s="40"/>
      <c r="AK66" s="160"/>
      <c r="AL66" s="160"/>
      <c r="AM66" s="40"/>
      <c r="AN66" s="209"/>
      <c r="AO66" s="197"/>
      <c r="AP66" s="160"/>
      <c r="AQ66" s="160"/>
      <c r="AR66" s="160"/>
      <c r="AS66" s="160"/>
      <c r="AT66" s="212"/>
      <c r="AU66" s="194"/>
      <c r="AV66" s="40"/>
      <c r="AW66" s="40"/>
      <c r="AX66" s="40"/>
      <c r="AY66" s="40"/>
      <c r="AZ66" s="208"/>
      <c r="BA66" s="194"/>
      <c r="BB66" s="40"/>
      <c r="BC66" s="40"/>
      <c r="BD66" s="40"/>
      <c r="BE66" s="40"/>
      <c r="BF66" s="216"/>
      <c r="BG66" s="194"/>
      <c r="BH66" s="40"/>
      <c r="BI66" s="40"/>
      <c r="BJ66" s="40"/>
      <c r="BK66" s="40"/>
      <c r="BL66" s="208"/>
    </row>
    <row r="67" spans="1:64" ht="15.75" x14ac:dyDescent="0.25">
      <c r="A67" s="299" t="s">
        <v>87</v>
      </c>
      <c r="B67" s="99" t="s">
        <v>196</v>
      </c>
      <c r="C67" s="300"/>
      <c r="D67" s="301" t="s">
        <v>208</v>
      </c>
      <c r="E67" s="302"/>
      <c r="F67" s="315">
        <v>72</v>
      </c>
      <c r="G67" s="51"/>
      <c r="H67" s="229">
        <v>72</v>
      </c>
      <c r="I67" s="39"/>
      <c r="J67" s="39"/>
      <c r="K67" s="39">
        <v>72</v>
      </c>
      <c r="L67" s="199"/>
      <c r="M67" s="39"/>
      <c r="N67" s="39"/>
      <c r="O67" s="301"/>
      <c r="P67" s="303"/>
      <c r="Q67" s="304"/>
      <c r="R67" s="305"/>
      <c r="S67" s="305"/>
      <c r="T67" s="305"/>
      <c r="U67" s="305"/>
      <c r="V67" s="306"/>
      <c r="W67" s="304"/>
      <c r="X67" s="305"/>
      <c r="Y67" s="305"/>
      <c r="Z67" s="305"/>
      <c r="AA67" s="305"/>
      <c r="AB67" s="306"/>
      <c r="AC67" s="193"/>
      <c r="AD67" s="305"/>
      <c r="AE67" s="305"/>
      <c r="AF67" s="305"/>
      <c r="AG67" s="305"/>
      <c r="AH67" s="306"/>
      <c r="AI67" s="182"/>
      <c r="AJ67" s="305"/>
      <c r="AK67" s="305"/>
      <c r="AL67" s="305"/>
      <c r="AM67" s="120"/>
      <c r="AN67" s="306"/>
      <c r="AO67" s="182"/>
      <c r="AP67" s="305"/>
      <c r="AQ67" s="305"/>
      <c r="AR67" s="305"/>
      <c r="AS67" s="305"/>
      <c r="AT67" s="306"/>
      <c r="AU67" s="182"/>
      <c r="AV67" s="305"/>
      <c r="AW67" s="305"/>
      <c r="AX67" s="120"/>
      <c r="AY67" s="305"/>
      <c r="AZ67" s="306"/>
      <c r="BA67" s="304"/>
      <c r="BB67" s="305"/>
      <c r="BC67" s="305"/>
      <c r="BD67" s="9"/>
      <c r="BE67" s="9"/>
      <c r="BF67" s="213"/>
      <c r="BG67" s="185">
        <v>72</v>
      </c>
      <c r="BH67" s="9"/>
      <c r="BI67" s="9"/>
      <c r="BJ67" s="9"/>
      <c r="BK67" s="9">
        <v>72</v>
      </c>
      <c r="BL67" s="213"/>
    </row>
    <row r="68" spans="1:64" ht="17.25" thickBot="1" x14ac:dyDescent="0.3">
      <c r="A68" s="307"/>
      <c r="B68" s="294"/>
      <c r="C68" s="308"/>
      <c r="D68" s="308"/>
      <c r="E68" s="308"/>
      <c r="F68" s="315"/>
      <c r="G68" s="42"/>
      <c r="H68" s="229"/>
      <c r="I68" s="42"/>
      <c r="J68" s="42"/>
      <c r="K68" s="42"/>
      <c r="L68" s="199"/>
      <c r="M68" s="42"/>
      <c r="N68" s="42"/>
      <c r="O68" s="308"/>
      <c r="P68" s="308"/>
      <c r="Q68" s="310"/>
      <c r="R68" s="307"/>
      <c r="S68" s="307"/>
      <c r="T68" s="307"/>
      <c r="U68" s="307"/>
      <c r="V68" s="311"/>
      <c r="W68" s="310"/>
      <c r="X68" s="307"/>
      <c r="Y68" s="307"/>
      <c r="Z68" s="307"/>
      <c r="AA68" s="307"/>
      <c r="AB68" s="311"/>
      <c r="AC68" s="309"/>
      <c r="AD68" s="307"/>
      <c r="AE68" s="307"/>
      <c r="AF68" s="307"/>
      <c r="AG68" s="307"/>
      <c r="AH68" s="311"/>
      <c r="AI68" s="309"/>
      <c r="AJ68" s="307"/>
      <c r="AK68" s="307"/>
      <c r="AL68" s="307"/>
      <c r="AM68" s="43"/>
      <c r="AN68" s="311"/>
      <c r="AO68" s="309"/>
      <c r="AP68" s="307"/>
      <c r="AQ68" s="307"/>
      <c r="AR68" s="307"/>
      <c r="AS68" s="307"/>
      <c r="AT68" s="311"/>
      <c r="AU68" s="309"/>
      <c r="AV68" s="307"/>
      <c r="AW68" s="307"/>
      <c r="AX68" s="43"/>
      <c r="AY68" s="307"/>
      <c r="AZ68" s="311"/>
      <c r="BA68" s="310"/>
      <c r="BB68" s="307"/>
      <c r="BC68" s="307"/>
      <c r="BD68" s="307"/>
      <c r="BE68" s="307"/>
      <c r="BF68" s="311"/>
      <c r="BG68" s="310"/>
      <c r="BH68" s="307"/>
      <c r="BI68" s="307"/>
      <c r="BJ68" s="307"/>
      <c r="BK68" s="307"/>
      <c r="BL68" s="311"/>
    </row>
    <row r="69" spans="1:64" ht="32.25" thickBot="1" x14ac:dyDescent="0.3">
      <c r="A69" s="484" t="s">
        <v>187</v>
      </c>
      <c r="B69" s="485" t="s">
        <v>188</v>
      </c>
      <c r="C69" s="486" t="s">
        <v>208</v>
      </c>
      <c r="D69" s="486">
        <v>2</v>
      </c>
      <c r="E69" s="486"/>
      <c r="F69" s="313">
        <f>SUM(F70:F74)</f>
        <v>668</v>
      </c>
      <c r="G69" s="313">
        <f t="shared" ref="G69:AZ69" si="33">SUM(G70:G74)</f>
        <v>42</v>
      </c>
      <c r="H69" s="313">
        <f>SUM(H70:H74)</f>
        <v>626</v>
      </c>
      <c r="I69" s="313">
        <f t="shared" si="33"/>
        <v>16</v>
      </c>
      <c r="J69" s="313">
        <f t="shared" si="33"/>
        <v>4</v>
      </c>
      <c r="K69" s="313">
        <f>SUM(K72:K73)</f>
        <v>216</v>
      </c>
      <c r="L69" s="313">
        <f t="shared" si="33"/>
        <v>390</v>
      </c>
      <c r="M69" s="313">
        <f t="shared" si="33"/>
        <v>272</v>
      </c>
      <c r="N69" s="313">
        <f t="shared" si="33"/>
        <v>106</v>
      </c>
      <c r="O69" s="313">
        <f t="shared" si="33"/>
        <v>0</v>
      </c>
      <c r="P69" s="313">
        <f t="shared" si="33"/>
        <v>0</v>
      </c>
      <c r="Q69" s="313"/>
      <c r="R69" s="313"/>
      <c r="S69" s="313"/>
      <c r="T69" s="313"/>
      <c r="U69" s="313"/>
      <c r="V69" s="313"/>
      <c r="W69" s="313"/>
      <c r="X69" s="313"/>
      <c r="Y69" s="313"/>
      <c r="Z69" s="313"/>
      <c r="AA69" s="313"/>
      <c r="AB69" s="313"/>
      <c r="AC69" s="313"/>
      <c r="AD69" s="313"/>
      <c r="AE69" s="313"/>
      <c r="AF69" s="313"/>
      <c r="AG69" s="313"/>
      <c r="AH69" s="313"/>
      <c r="AI69" s="313"/>
      <c r="AJ69" s="313"/>
      <c r="AK69" s="313"/>
      <c r="AL69" s="313"/>
      <c r="AM69" s="313"/>
      <c r="AN69" s="313"/>
      <c r="AO69" s="313"/>
      <c r="AP69" s="313"/>
      <c r="AQ69" s="313"/>
      <c r="AR69" s="313"/>
      <c r="AS69" s="313"/>
      <c r="AT69" s="312"/>
      <c r="AU69" s="313">
        <f>SUM(AU70:AU74)</f>
        <v>114</v>
      </c>
      <c r="AV69" s="313">
        <f t="shared" si="33"/>
        <v>18</v>
      </c>
      <c r="AW69" s="313"/>
      <c r="AX69" s="313"/>
      <c r="AY69" s="313"/>
      <c r="AZ69" s="313">
        <f t="shared" si="33"/>
        <v>96</v>
      </c>
      <c r="BA69" s="313">
        <f>SUM(BA70:BA75)</f>
        <v>116</v>
      </c>
      <c r="BB69" s="313">
        <f t="shared" ref="BB69" si="34">SUM(BB70:BB75)</f>
        <v>4</v>
      </c>
      <c r="BC69" s="313"/>
      <c r="BD69" s="313"/>
      <c r="BE69" s="313"/>
      <c r="BF69" s="313">
        <f>SUM(BF70:BF75)</f>
        <v>112</v>
      </c>
      <c r="BG69" s="312">
        <f>SUM(BG70:BG75)</f>
        <v>438</v>
      </c>
      <c r="BH69" s="312">
        <f t="shared" ref="BH69:BL69" si="35">SUM(BH70:BH75)</f>
        <v>20</v>
      </c>
      <c r="BI69" s="312">
        <f t="shared" si="35"/>
        <v>16</v>
      </c>
      <c r="BJ69" s="312">
        <f t="shared" si="35"/>
        <v>4</v>
      </c>
      <c r="BK69" s="312">
        <f t="shared" si="35"/>
        <v>216</v>
      </c>
      <c r="BL69" s="312">
        <f t="shared" si="35"/>
        <v>182</v>
      </c>
    </row>
    <row r="70" spans="1:64" ht="31.5" x14ac:dyDescent="0.25">
      <c r="A70" s="9" t="s">
        <v>189</v>
      </c>
      <c r="B70" s="314" t="s">
        <v>190</v>
      </c>
      <c r="C70" s="25">
        <v>8</v>
      </c>
      <c r="D70" s="25">
        <v>7</v>
      </c>
      <c r="E70" s="25"/>
      <c r="F70" s="315">
        <v>225</v>
      </c>
      <c r="G70" s="12">
        <v>20</v>
      </c>
      <c r="H70" s="229">
        <v>205</v>
      </c>
      <c r="I70" s="12">
        <v>8</v>
      </c>
      <c r="J70" s="12">
        <v>2</v>
      </c>
      <c r="K70" s="12"/>
      <c r="L70" s="199">
        <f>SUM(AB70+AH70+AN70+AT70+AZ70+BF70+BL70)</f>
        <v>195</v>
      </c>
      <c r="M70" s="12">
        <v>127</v>
      </c>
      <c r="N70" s="12">
        <v>56</v>
      </c>
      <c r="O70" s="25"/>
      <c r="P70" s="25"/>
      <c r="Q70" s="316"/>
      <c r="R70" s="9"/>
      <c r="S70" s="9"/>
      <c r="T70" s="9"/>
      <c r="U70" s="9"/>
      <c r="V70" s="317"/>
      <c r="W70" s="316"/>
      <c r="X70" s="9"/>
      <c r="Y70" s="9"/>
      <c r="Z70" s="9"/>
      <c r="AA70" s="9"/>
      <c r="AB70" s="317"/>
      <c r="AC70" s="315"/>
      <c r="AD70" s="9"/>
      <c r="AE70" s="9"/>
      <c r="AF70" s="9"/>
      <c r="AG70" s="9"/>
      <c r="AH70" s="317"/>
      <c r="AI70" s="315"/>
      <c r="AJ70" s="9"/>
      <c r="AK70" s="9"/>
      <c r="AL70" s="9"/>
      <c r="AM70" s="40"/>
      <c r="AN70" s="317"/>
      <c r="AO70" s="315"/>
      <c r="AP70" s="9"/>
      <c r="AQ70" s="9"/>
      <c r="AR70" s="318"/>
      <c r="AS70" s="9"/>
      <c r="AT70" s="317"/>
      <c r="AU70" s="315">
        <v>56</v>
      </c>
      <c r="AV70" s="9">
        <v>8</v>
      </c>
      <c r="AW70" s="9"/>
      <c r="AX70" s="40"/>
      <c r="AY70" s="9"/>
      <c r="AZ70" s="317">
        <v>48</v>
      </c>
      <c r="BA70" s="317">
        <v>58</v>
      </c>
      <c r="BB70" s="9">
        <v>2</v>
      </c>
      <c r="BC70" s="9"/>
      <c r="BD70" s="9"/>
      <c r="BE70" s="9"/>
      <c r="BF70" s="317">
        <v>56</v>
      </c>
      <c r="BG70" s="316">
        <v>111</v>
      </c>
      <c r="BH70" s="9">
        <v>10</v>
      </c>
      <c r="BI70" s="9">
        <v>8</v>
      </c>
      <c r="BJ70" s="9">
        <v>2</v>
      </c>
      <c r="BK70" s="9"/>
      <c r="BL70" s="317">
        <v>91</v>
      </c>
    </row>
    <row r="71" spans="1:64" ht="31.5" x14ac:dyDescent="0.25">
      <c r="A71" s="165" t="s">
        <v>191</v>
      </c>
      <c r="B71" s="319" t="s">
        <v>192</v>
      </c>
      <c r="C71" s="320">
        <v>8</v>
      </c>
      <c r="D71" s="320">
        <v>7</v>
      </c>
      <c r="E71" s="320"/>
      <c r="F71" s="315">
        <v>227</v>
      </c>
      <c r="G71" s="10">
        <v>22</v>
      </c>
      <c r="H71" s="229">
        <v>205</v>
      </c>
      <c r="I71" s="10">
        <v>8</v>
      </c>
      <c r="J71" s="10">
        <v>2</v>
      </c>
      <c r="K71" s="10"/>
      <c r="L71" s="199">
        <f>SUM(AB71+AH71+AN71+AT71+AZ71+BF71+BL71)</f>
        <v>195</v>
      </c>
      <c r="M71" s="10">
        <v>145</v>
      </c>
      <c r="N71" s="10">
        <v>50</v>
      </c>
      <c r="O71" s="320"/>
      <c r="P71" s="320"/>
      <c r="Q71" s="321"/>
      <c r="R71" s="165"/>
      <c r="S71" s="165"/>
      <c r="T71" s="165"/>
      <c r="U71" s="165"/>
      <c r="V71" s="322"/>
      <c r="W71" s="321"/>
      <c r="X71" s="165"/>
      <c r="Y71" s="165"/>
      <c r="Z71" s="165"/>
      <c r="AA71" s="165"/>
      <c r="AB71" s="322"/>
      <c r="AC71" s="296"/>
      <c r="AD71" s="165"/>
      <c r="AE71" s="165"/>
      <c r="AF71" s="165"/>
      <c r="AG71" s="165"/>
      <c r="AH71" s="322"/>
      <c r="AI71" s="296"/>
      <c r="AJ71" s="165"/>
      <c r="AK71" s="165"/>
      <c r="AL71" s="165"/>
      <c r="AM71" s="6"/>
      <c r="AN71" s="322"/>
      <c r="AO71" s="296"/>
      <c r="AP71" s="165"/>
      <c r="AQ71" s="165"/>
      <c r="AR71" s="323"/>
      <c r="AS71" s="165"/>
      <c r="AT71" s="322"/>
      <c r="AU71" s="296">
        <v>58</v>
      </c>
      <c r="AV71" s="165">
        <v>10</v>
      </c>
      <c r="AW71" s="165"/>
      <c r="AX71" s="6"/>
      <c r="AY71" s="165"/>
      <c r="AZ71" s="322">
        <v>48</v>
      </c>
      <c r="BA71" s="322">
        <v>58</v>
      </c>
      <c r="BB71" s="165">
        <v>2</v>
      </c>
      <c r="BC71" s="165"/>
      <c r="BD71" s="165"/>
      <c r="BE71" s="165"/>
      <c r="BF71" s="322">
        <v>56</v>
      </c>
      <c r="BG71" s="316">
        <v>111</v>
      </c>
      <c r="BH71" s="9">
        <v>10</v>
      </c>
      <c r="BI71" s="9">
        <v>8</v>
      </c>
      <c r="BJ71" s="9">
        <v>2</v>
      </c>
      <c r="BK71" s="9"/>
      <c r="BL71" s="317">
        <v>91</v>
      </c>
    </row>
    <row r="72" spans="1:64" ht="15.75" x14ac:dyDescent="0.25">
      <c r="A72" s="165" t="s">
        <v>193</v>
      </c>
      <c r="B72" s="319" t="s">
        <v>194</v>
      </c>
      <c r="C72" s="320"/>
      <c r="D72" s="320" t="s">
        <v>208</v>
      </c>
      <c r="E72" s="320"/>
      <c r="F72" s="315">
        <v>108</v>
      </c>
      <c r="G72" s="10"/>
      <c r="H72" s="229">
        <f t="shared" ref="H72:H73" si="36">SUM(AU72+BA72+BG72)</f>
        <v>108</v>
      </c>
      <c r="I72" s="10"/>
      <c r="J72" s="10"/>
      <c r="K72" s="10">
        <v>108</v>
      </c>
      <c r="L72" s="199"/>
      <c r="M72" s="10"/>
      <c r="N72" s="10"/>
      <c r="O72" s="320"/>
      <c r="P72" s="320"/>
      <c r="Q72" s="321"/>
      <c r="R72" s="165"/>
      <c r="S72" s="165"/>
      <c r="T72" s="165"/>
      <c r="U72" s="165"/>
      <c r="V72" s="322"/>
      <c r="W72" s="321"/>
      <c r="X72" s="165"/>
      <c r="Y72" s="165"/>
      <c r="Z72" s="165"/>
      <c r="AA72" s="165"/>
      <c r="AB72" s="322"/>
      <c r="AC72" s="296"/>
      <c r="AD72" s="165"/>
      <c r="AE72" s="165"/>
      <c r="AF72" s="165"/>
      <c r="AG72" s="165"/>
      <c r="AH72" s="322"/>
      <c r="AI72" s="296"/>
      <c r="AJ72" s="165"/>
      <c r="AK72" s="165"/>
      <c r="AL72" s="165"/>
      <c r="AM72" s="6"/>
      <c r="AN72" s="322"/>
      <c r="AO72" s="296"/>
      <c r="AP72" s="165"/>
      <c r="AQ72" s="165"/>
      <c r="AR72" s="323"/>
      <c r="AS72" s="165"/>
      <c r="AT72" s="322"/>
      <c r="AU72" s="296"/>
      <c r="AV72" s="165"/>
      <c r="AW72" s="165"/>
      <c r="AX72" s="6"/>
      <c r="AY72" s="165"/>
      <c r="AZ72" s="322"/>
      <c r="BA72" s="321"/>
      <c r="BB72" s="165"/>
      <c r="BC72" s="165"/>
      <c r="BD72" s="165"/>
      <c r="BE72" s="165"/>
      <c r="BF72" s="322"/>
      <c r="BG72" s="321">
        <v>108</v>
      </c>
      <c r="BH72" s="165"/>
      <c r="BI72" s="165"/>
      <c r="BJ72" s="165"/>
      <c r="BK72" s="165">
        <v>108</v>
      </c>
      <c r="BL72" s="322"/>
    </row>
    <row r="73" spans="1:64" ht="15.75" x14ac:dyDescent="0.25">
      <c r="A73" s="165" t="s">
        <v>195</v>
      </c>
      <c r="B73" s="319" t="s">
        <v>196</v>
      </c>
      <c r="C73" s="320"/>
      <c r="D73" s="320" t="s">
        <v>208</v>
      </c>
      <c r="E73" s="320"/>
      <c r="F73" s="315">
        <v>108</v>
      </c>
      <c r="G73" s="10"/>
      <c r="H73" s="229">
        <f t="shared" si="36"/>
        <v>108</v>
      </c>
      <c r="I73" s="10"/>
      <c r="J73" s="10"/>
      <c r="K73" s="10">
        <v>108</v>
      </c>
      <c r="L73" s="199"/>
      <c r="M73" s="10"/>
      <c r="N73" s="10"/>
      <c r="O73" s="320"/>
      <c r="P73" s="320"/>
      <c r="Q73" s="321"/>
      <c r="R73" s="165"/>
      <c r="S73" s="165"/>
      <c r="T73" s="165"/>
      <c r="U73" s="165"/>
      <c r="V73" s="322"/>
      <c r="W73" s="321"/>
      <c r="X73" s="165"/>
      <c r="Y73" s="165"/>
      <c r="Z73" s="165"/>
      <c r="AA73" s="165"/>
      <c r="AB73" s="322"/>
      <c r="AC73" s="296"/>
      <c r="AD73" s="165"/>
      <c r="AE73" s="165"/>
      <c r="AF73" s="165"/>
      <c r="AG73" s="165"/>
      <c r="AH73" s="322"/>
      <c r="AI73" s="296"/>
      <c r="AJ73" s="165"/>
      <c r="AK73" s="165"/>
      <c r="AL73" s="165"/>
      <c r="AM73" s="6"/>
      <c r="AN73" s="322"/>
      <c r="AO73" s="296"/>
      <c r="AP73" s="165"/>
      <c r="AQ73" s="165"/>
      <c r="AR73" s="323"/>
      <c r="AS73" s="165"/>
      <c r="AT73" s="322"/>
      <c r="AU73" s="296"/>
      <c r="AV73" s="165"/>
      <c r="AW73" s="165"/>
      <c r="AX73" s="6"/>
      <c r="AY73" s="165"/>
      <c r="AZ73" s="322"/>
      <c r="BA73" s="321"/>
      <c r="BB73" s="165"/>
      <c r="BC73" s="165"/>
      <c r="BD73" s="165"/>
      <c r="BE73" s="165"/>
      <c r="BF73" s="322"/>
      <c r="BG73" s="321">
        <v>108</v>
      </c>
      <c r="BH73" s="165"/>
      <c r="BI73" s="165"/>
      <c r="BJ73" s="165"/>
      <c r="BK73" s="165">
        <v>108</v>
      </c>
      <c r="BL73" s="322"/>
    </row>
    <row r="74" spans="1:64" ht="16.5" x14ac:dyDescent="0.25">
      <c r="A74" s="165"/>
      <c r="B74" s="298"/>
      <c r="C74" s="320"/>
      <c r="D74" s="320"/>
      <c r="E74" s="320"/>
      <c r="F74" s="315"/>
      <c r="G74" s="10"/>
      <c r="H74" s="229"/>
      <c r="I74" s="10"/>
      <c r="J74" s="10"/>
      <c r="K74" s="10"/>
      <c r="L74" s="199"/>
      <c r="M74" s="10"/>
      <c r="N74" s="10"/>
      <c r="O74" s="320"/>
      <c r="P74" s="320"/>
      <c r="Q74" s="321"/>
      <c r="R74" s="165"/>
      <c r="S74" s="165"/>
      <c r="T74" s="165"/>
      <c r="U74" s="165"/>
      <c r="V74" s="322"/>
      <c r="W74" s="321"/>
      <c r="X74" s="165"/>
      <c r="Y74" s="165"/>
      <c r="Z74" s="165"/>
      <c r="AA74" s="165"/>
      <c r="AB74" s="322"/>
      <c r="AC74" s="296"/>
      <c r="AD74" s="165"/>
      <c r="AE74" s="165"/>
      <c r="AF74" s="165"/>
      <c r="AG74" s="165"/>
      <c r="AH74" s="322"/>
      <c r="AI74" s="296"/>
      <c r="AJ74" s="165"/>
      <c r="AK74" s="165"/>
      <c r="AL74" s="165"/>
      <c r="AM74" s="6"/>
      <c r="AN74" s="322"/>
      <c r="AO74" s="296"/>
      <c r="AP74" s="165"/>
      <c r="AQ74" s="165"/>
      <c r="AR74" s="323"/>
      <c r="AS74" s="165"/>
      <c r="AT74" s="322"/>
      <c r="AU74" s="296"/>
      <c r="AV74" s="165"/>
      <c r="AW74" s="165"/>
      <c r="AX74" s="6"/>
      <c r="AY74" s="165"/>
      <c r="AZ74" s="322"/>
      <c r="BA74" s="321"/>
      <c r="BB74" s="165"/>
      <c r="BC74" s="165"/>
      <c r="BD74" s="165"/>
      <c r="BE74" s="165"/>
      <c r="BF74" s="322"/>
      <c r="BG74" s="321"/>
      <c r="BH74" s="165"/>
      <c r="BI74" s="165"/>
      <c r="BJ74" s="165"/>
      <c r="BK74" s="165"/>
      <c r="BL74" s="322"/>
    </row>
    <row r="75" spans="1:64" ht="6" customHeight="1" thickBot="1" x14ac:dyDescent="0.25">
      <c r="A75" s="324"/>
      <c r="B75" s="325"/>
      <c r="C75" s="326"/>
      <c r="D75" s="327"/>
      <c r="E75" s="328"/>
      <c r="F75" s="315"/>
      <c r="G75" s="326"/>
      <c r="H75" s="229"/>
      <c r="I75" s="327"/>
      <c r="J75" s="327"/>
      <c r="K75" s="327"/>
      <c r="L75" s="199"/>
      <c r="M75" s="327"/>
      <c r="N75" s="327"/>
      <c r="O75" s="327"/>
      <c r="P75" s="328"/>
      <c r="Q75" s="329"/>
      <c r="R75" s="330"/>
      <c r="S75" s="330"/>
      <c r="T75" s="330"/>
      <c r="U75" s="330"/>
      <c r="V75" s="331"/>
      <c r="W75" s="329"/>
      <c r="X75" s="330"/>
      <c r="Y75" s="330"/>
      <c r="Z75" s="330"/>
      <c r="AA75" s="330"/>
      <c r="AB75" s="331"/>
      <c r="AC75" s="329"/>
      <c r="AD75" s="330"/>
      <c r="AE75" s="330"/>
      <c r="AF75" s="330"/>
      <c r="AG75" s="330"/>
      <c r="AH75" s="331"/>
      <c r="AI75" s="329"/>
      <c r="AJ75" s="330"/>
      <c r="AK75" s="330"/>
      <c r="AL75" s="330"/>
      <c r="AM75" s="330"/>
      <c r="AN75" s="331"/>
      <c r="AO75" s="329"/>
      <c r="AP75" s="330"/>
      <c r="AQ75" s="330"/>
      <c r="AR75" s="330"/>
      <c r="AS75" s="332"/>
      <c r="AT75" s="333"/>
      <c r="AU75" s="334"/>
      <c r="AV75" s="332"/>
      <c r="AW75" s="332"/>
      <c r="AX75" s="332"/>
      <c r="AY75" s="332"/>
      <c r="AZ75" s="333"/>
      <c r="BA75" s="334"/>
      <c r="BB75" s="332"/>
      <c r="BC75" s="332"/>
      <c r="BD75" s="332"/>
      <c r="BE75" s="332"/>
      <c r="BF75" s="333"/>
      <c r="BG75" s="329"/>
      <c r="BH75" s="330"/>
      <c r="BI75" s="330"/>
      <c r="BJ75" s="330"/>
      <c r="BK75" s="330"/>
      <c r="BL75" s="331"/>
    </row>
    <row r="76" spans="1:64" ht="16.5" thickBot="1" x14ac:dyDescent="0.25">
      <c r="A76" s="93" t="s">
        <v>8</v>
      </c>
      <c r="B76" s="84" t="s">
        <v>50</v>
      </c>
      <c r="C76" s="97"/>
      <c r="D76" s="37"/>
      <c r="E76" s="93"/>
      <c r="F76" s="339">
        <v>72</v>
      </c>
      <c r="G76" s="97"/>
      <c r="H76" s="231">
        <v>72</v>
      </c>
      <c r="I76" s="37"/>
      <c r="J76" s="38"/>
      <c r="K76" s="38"/>
      <c r="L76" s="203"/>
      <c r="M76" s="38"/>
      <c r="N76" s="38"/>
      <c r="O76" s="38"/>
      <c r="P76" s="108"/>
      <c r="Q76" s="183"/>
      <c r="R76" s="159"/>
      <c r="S76" s="159"/>
      <c r="T76" s="159"/>
      <c r="U76" s="159"/>
      <c r="V76" s="211"/>
      <c r="W76" s="183"/>
      <c r="X76" s="159"/>
      <c r="Y76" s="159"/>
      <c r="Z76" s="159"/>
      <c r="AA76" s="159"/>
      <c r="AB76" s="211"/>
      <c r="AC76" s="183"/>
      <c r="AD76" s="159"/>
      <c r="AE76" s="159"/>
      <c r="AF76" s="159"/>
      <c r="AG76" s="159"/>
      <c r="AH76" s="211"/>
      <c r="AI76" s="183"/>
      <c r="AJ76" s="159"/>
      <c r="AK76" s="159"/>
      <c r="AL76" s="159"/>
      <c r="AM76" s="159"/>
      <c r="AN76" s="211"/>
      <c r="AO76" s="183"/>
      <c r="AP76" s="159"/>
      <c r="AQ76" s="159"/>
      <c r="AR76" s="159"/>
      <c r="AS76" s="159"/>
      <c r="AT76" s="211"/>
      <c r="AU76" s="183"/>
      <c r="AV76" s="159"/>
      <c r="AW76" s="159"/>
      <c r="AX76" s="159"/>
      <c r="AY76" s="159"/>
      <c r="AZ76" s="211"/>
      <c r="BA76" s="183"/>
      <c r="BB76" s="159"/>
      <c r="BC76" s="159"/>
      <c r="BD76" s="159"/>
      <c r="BE76" s="159"/>
      <c r="BF76" s="211"/>
      <c r="BG76" s="183">
        <v>72</v>
      </c>
      <c r="BH76" s="159"/>
      <c r="BI76" s="159"/>
      <c r="BJ76" s="159"/>
      <c r="BK76" s="159"/>
      <c r="BL76" s="211"/>
    </row>
    <row r="77" spans="1:64" ht="5.25" customHeight="1" x14ac:dyDescent="0.25">
      <c r="A77" s="126"/>
      <c r="B77" s="236"/>
      <c r="C77" s="52"/>
      <c r="D77" s="25"/>
      <c r="E77" s="102"/>
      <c r="F77" s="169"/>
      <c r="G77" s="52"/>
      <c r="H77" s="229"/>
      <c r="I77" s="12"/>
      <c r="J77" s="12"/>
      <c r="K77" s="12"/>
      <c r="L77" s="199"/>
      <c r="M77" s="12"/>
      <c r="N77" s="12"/>
      <c r="O77" s="12"/>
      <c r="P77" s="80"/>
      <c r="Q77" s="179"/>
      <c r="R77" s="40"/>
      <c r="S77" s="40"/>
      <c r="T77" s="40"/>
      <c r="U77" s="40"/>
      <c r="V77" s="208"/>
      <c r="W77" s="179"/>
      <c r="X77" s="40"/>
      <c r="Y77" s="40"/>
      <c r="Z77" s="40"/>
      <c r="AA77" s="40"/>
      <c r="AB77" s="208"/>
      <c r="AC77" s="179"/>
      <c r="AD77" s="40"/>
      <c r="AE77" s="40"/>
      <c r="AF77" s="40"/>
      <c r="AG77" s="40"/>
      <c r="AH77" s="208"/>
      <c r="AI77" s="179"/>
      <c r="AJ77" s="40"/>
      <c r="AK77" s="40"/>
      <c r="AL77" s="40"/>
      <c r="AM77" s="40"/>
      <c r="AN77" s="208"/>
      <c r="AO77" s="179"/>
      <c r="AP77" s="40"/>
      <c r="AQ77" s="40"/>
      <c r="AR77" s="40"/>
      <c r="AS77" s="40"/>
      <c r="AT77" s="208"/>
      <c r="AU77" s="179"/>
      <c r="AV77" s="40"/>
      <c r="AW77" s="40"/>
      <c r="AX77" s="40"/>
      <c r="AY77" s="40"/>
      <c r="AZ77" s="208"/>
      <c r="BA77" s="179"/>
      <c r="BB77" s="40"/>
      <c r="BC77" s="40"/>
      <c r="BD77" s="40"/>
      <c r="BE77" s="40"/>
      <c r="BF77" s="208"/>
      <c r="BG77" s="179"/>
      <c r="BH77" s="40"/>
      <c r="BI77" s="40"/>
      <c r="BJ77" s="40"/>
      <c r="BK77" s="40"/>
      <c r="BL77" s="208"/>
    </row>
    <row r="78" spans="1:64" ht="5.25" customHeight="1" x14ac:dyDescent="0.2">
      <c r="A78" s="127"/>
      <c r="B78" s="237"/>
      <c r="C78" s="98"/>
      <c r="D78" s="10"/>
      <c r="E78" s="82"/>
      <c r="F78" s="173"/>
      <c r="G78" s="98"/>
      <c r="H78" s="230"/>
      <c r="I78" s="10"/>
      <c r="J78" s="10"/>
      <c r="K78" s="10"/>
      <c r="L78" s="201"/>
      <c r="M78" s="10"/>
      <c r="N78" s="10"/>
      <c r="O78" s="10"/>
      <c r="P78" s="82"/>
      <c r="Q78" s="181"/>
      <c r="R78" s="6"/>
      <c r="S78" s="6"/>
      <c r="T78" s="6"/>
      <c r="U78" s="6"/>
      <c r="V78" s="209"/>
      <c r="W78" s="181"/>
      <c r="X78" s="6"/>
      <c r="Y78" s="6"/>
      <c r="Z78" s="6"/>
      <c r="AA78" s="6"/>
      <c r="AB78" s="209"/>
      <c r="AC78" s="181"/>
      <c r="AD78" s="6"/>
      <c r="AE78" s="6"/>
      <c r="AF78" s="6"/>
      <c r="AG78" s="6"/>
      <c r="AH78" s="209"/>
      <c r="AI78" s="181"/>
      <c r="AJ78" s="6"/>
      <c r="AK78" s="6"/>
      <c r="AL78" s="6"/>
      <c r="AM78" s="6"/>
      <c r="AN78" s="209"/>
      <c r="AO78" s="181"/>
      <c r="AP78" s="6"/>
      <c r="AQ78" s="6"/>
      <c r="AR78" s="6"/>
      <c r="AS78" s="6"/>
      <c r="AT78" s="209"/>
      <c r="AU78" s="181"/>
      <c r="AV78" s="6"/>
      <c r="AW78" s="6"/>
      <c r="AX78" s="6"/>
      <c r="AY78" s="6"/>
      <c r="AZ78" s="209"/>
      <c r="BA78" s="181"/>
      <c r="BB78" s="6"/>
      <c r="BC78" s="6"/>
      <c r="BD78" s="6"/>
      <c r="BE78" s="6"/>
      <c r="BF78" s="209"/>
      <c r="BG78" s="181"/>
      <c r="BH78" s="6"/>
      <c r="BI78" s="6"/>
      <c r="BJ78" s="6"/>
      <c r="BK78" s="6"/>
      <c r="BL78" s="209"/>
    </row>
    <row r="79" spans="1:64" ht="5.25" customHeight="1" x14ac:dyDescent="0.2">
      <c r="A79" s="127"/>
      <c r="B79" s="237"/>
      <c r="C79" s="98"/>
      <c r="D79" s="10"/>
      <c r="E79" s="82"/>
      <c r="F79" s="173"/>
      <c r="G79" s="98"/>
      <c r="H79" s="230"/>
      <c r="I79" s="10"/>
      <c r="J79" s="10"/>
      <c r="K79" s="10"/>
      <c r="L79" s="201"/>
      <c r="M79" s="10"/>
      <c r="N79" s="10"/>
      <c r="O79" s="10"/>
      <c r="P79" s="82"/>
      <c r="Q79" s="181"/>
      <c r="R79" s="6"/>
      <c r="S79" s="6"/>
      <c r="T79" s="6"/>
      <c r="U79" s="6"/>
      <c r="V79" s="209"/>
      <c r="W79" s="181"/>
      <c r="X79" s="6"/>
      <c r="Y79" s="6"/>
      <c r="Z79" s="6"/>
      <c r="AA79" s="6"/>
      <c r="AB79" s="209"/>
      <c r="AC79" s="181"/>
      <c r="AD79" s="6"/>
      <c r="AE79" s="6"/>
      <c r="AF79" s="6"/>
      <c r="AG79" s="6"/>
      <c r="AH79" s="209"/>
      <c r="AI79" s="181"/>
      <c r="AJ79" s="6"/>
      <c r="AK79" s="6"/>
      <c r="AL79" s="6"/>
      <c r="AM79" s="6"/>
      <c r="AN79" s="209"/>
      <c r="AO79" s="181"/>
      <c r="AP79" s="6"/>
      <c r="AQ79" s="6"/>
      <c r="AR79" s="6"/>
      <c r="AS79" s="6"/>
      <c r="AT79" s="209"/>
      <c r="AU79" s="181"/>
      <c r="AV79" s="6"/>
      <c r="AW79" s="6"/>
      <c r="AX79" s="6"/>
      <c r="AY79" s="161"/>
      <c r="AZ79" s="209"/>
      <c r="BA79" s="181"/>
      <c r="BB79" s="6"/>
      <c r="BC79" s="6"/>
      <c r="BD79" s="6"/>
      <c r="BE79" s="6"/>
      <c r="BF79" s="209"/>
      <c r="BG79" s="181"/>
      <c r="BH79" s="6"/>
      <c r="BI79" s="6"/>
      <c r="BJ79" s="6"/>
      <c r="BK79" s="6"/>
      <c r="BL79" s="209"/>
    </row>
    <row r="80" spans="1:64" ht="5.25" customHeight="1" thickBot="1" x14ac:dyDescent="0.25">
      <c r="A80" s="128"/>
      <c r="B80" s="238"/>
      <c r="C80" s="96"/>
      <c r="D80" s="20"/>
      <c r="E80" s="103"/>
      <c r="F80" s="170"/>
      <c r="G80" s="96"/>
      <c r="H80" s="232"/>
      <c r="I80" s="20"/>
      <c r="J80" s="20"/>
      <c r="K80" s="20"/>
      <c r="L80" s="204"/>
      <c r="M80" s="20"/>
      <c r="N80" s="20"/>
      <c r="O80" s="20"/>
      <c r="P80" s="103"/>
      <c r="Q80" s="186"/>
      <c r="R80" s="45"/>
      <c r="S80" s="45"/>
      <c r="T80" s="45"/>
      <c r="U80" s="45"/>
      <c r="V80" s="214"/>
      <c r="W80" s="186"/>
      <c r="X80" s="45"/>
      <c r="Y80" s="45"/>
      <c r="Z80" s="45"/>
      <c r="AA80" s="45"/>
      <c r="AB80" s="214"/>
      <c r="AC80" s="186"/>
      <c r="AD80" s="45"/>
      <c r="AE80" s="45"/>
      <c r="AF80" s="45"/>
      <c r="AG80" s="45"/>
      <c r="AH80" s="214"/>
      <c r="AI80" s="186"/>
      <c r="AJ80" s="45"/>
      <c r="AK80" s="45"/>
      <c r="AL80" s="45"/>
      <c r="AM80" s="45"/>
      <c r="AN80" s="214"/>
      <c r="AO80" s="186"/>
      <c r="AP80" s="45"/>
      <c r="AQ80" s="45"/>
      <c r="AR80" s="45"/>
      <c r="AS80" s="45"/>
      <c r="AT80" s="214"/>
      <c r="AU80" s="186"/>
      <c r="AV80" s="45"/>
      <c r="AW80" s="45"/>
      <c r="AX80" s="45"/>
      <c r="AY80" s="45"/>
      <c r="AZ80" s="214"/>
      <c r="BA80" s="186"/>
      <c r="BB80" s="45"/>
      <c r="BC80" s="45"/>
      <c r="BD80" s="45"/>
      <c r="BE80" s="45"/>
      <c r="BF80" s="214"/>
      <c r="BG80" s="186"/>
      <c r="BH80" s="45"/>
      <c r="BI80" s="45"/>
      <c r="BJ80" s="45"/>
      <c r="BK80" s="45"/>
      <c r="BL80" s="214"/>
    </row>
    <row r="81" spans="1:64" ht="19.5" hidden="1" customHeight="1" x14ac:dyDescent="0.2">
      <c r="A81" s="21"/>
      <c r="B81" s="682"/>
      <c r="C81" s="682"/>
      <c r="D81" s="682"/>
      <c r="E81" s="682"/>
      <c r="F81" s="682"/>
      <c r="G81" s="26"/>
      <c r="H81" s="684" t="s">
        <v>2</v>
      </c>
      <c r="I81" s="687" t="s">
        <v>29</v>
      </c>
      <c r="J81" s="688"/>
      <c r="K81" s="688"/>
      <c r="L81" s="688"/>
      <c r="M81" s="688"/>
      <c r="N81" s="688"/>
      <c r="O81" s="688"/>
      <c r="P81" s="689"/>
      <c r="Q81" s="162"/>
      <c r="R81" s="163"/>
      <c r="S81" s="163"/>
      <c r="T81" s="163"/>
      <c r="U81" s="163"/>
      <c r="V81" s="164">
        <v>10</v>
      </c>
      <c r="W81" s="162"/>
      <c r="X81" s="163"/>
      <c r="Y81" s="163"/>
      <c r="Z81" s="163"/>
      <c r="AA81" s="163"/>
      <c r="AB81" s="164">
        <v>13</v>
      </c>
      <c r="AC81" s="162"/>
      <c r="AD81" s="163"/>
      <c r="AE81" s="163"/>
      <c r="AF81" s="163"/>
      <c r="AG81" s="163"/>
      <c r="AH81" s="164"/>
      <c r="AI81" s="162"/>
      <c r="AJ81" s="163"/>
      <c r="AK81" s="163"/>
      <c r="AL81" s="163"/>
      <c r="AM81" s="163"/>
      <c r="AN81" s="164"/>
      <c r="AO81" s="198"/>
      <c r="AP81" s="163"/>
      <c r="AQ81" s="163"/>
      <c r="AR81" s="163"/>
      <c r="AS81" s="163"/>
      <c r="AT81" s="164"/>
      <c r="AU81" s="162"/>
      <c r="AV81" s="163"/>
      <c r="AW81" s="163"/>
      <c r="AX81" s="163"/>
      <c r="AY81" s="163"/>
      <c r="AZ81" s="57"/>
      <c r="BA81" s="162"/>
      <c r="BB81" s="163"/>
      <c r="BC81" s="163"/>
      <c r="BD81" s="163"/>
      <c r="BE81" s="163"/>
      <c r="BF81" s="164"/>
      <c r="BG81" s="162"/>
      <c r="BH81" s="163"/>
      <c r="BI81" s="163"/>
      <c r="BJ81" s="163"/>
      <c r="BK81" s="163"/>
      <c r="BL81" s="164"/>
    </row>
    <row r="82" spans="1:64" ht="15.75" hidden="1" customHeight="1" x14ac:dyDescent="0.2">
      <c r="A82" s="3"/>
      <c r="B82" s="683"/>
      <c r="C82" s="683"/>
      <c r="D82" s="683"/>
      <c r="E82" s="683"/>
      <c r="F82" s="683"/>
      <c r="G82" s="28"/>
      <c r="H82" s="685"/>
      <c r="I82" s="690" t="s">
        <v>30</v>
      </c>
      <c r="J82" s="691"/>
      <c r="K82" s="691"/>
      <c r="L82" s="691"/>
      <c r="M82" s="691"/>
      <c r="N82" s="691"/>
      <c r="O82" s="691"/>
      <c r="P82" s="692"/>
      <c r="Q82" s="240"/>
      <c r="R82" s="241"/>
      <c r="S82" s="241"/>
      <c r="T82" s="241"/>
      <c r="U82" s="241"/>
      <c r="V82" s="242"/>
      <c r="W82" s="240"/>
      <c r="X82" s="241"/>
      <c r="Y82" s="241"/>
      <c r="Z82" s="241"/>
      <c r="AA82" s="241"/>
      <c r="AB82" s="242"/>
      <c r="AC82" s="240"/>
      <c r="AD82" s="241"/>
      <c r="AE82" s="241"/>
      <c r="AF82" s="241"/>
      <c r="AG82" s="241"/>
      <c r="AH82" s="242"/>
      <c r="AI82" s="240"/>
      <c r="AJ82" s="241"/>
      <c r="AK82" s="241"/>
      <c r="AL82" s="241"/>
      <c r="AM82" s="241"/>
      <c r="AN82" s="242"/>
      <c r="AO82" s="125"/>
      <c r="AP82" s="241"/>
      <c r="AQ82" s="241"/>
      <c r="AR82" s="241"/>
      <c r="AS82" s="241"/>
      <c r="AT82" s="242"/>
      <c r="AU82" s="240"/>
      <c r="AV82" s="241"/>
      <c r="AW82" s="16"/>
      <c r="AX82" s="16"/>
      <c r="AY82" s="16"/>
      <c r="AZ82" s="61"/>
      <c r="BA82" s="240"/>
      <c r="BB82" s="241"/>
      <c r="BC82" s="241"/>
      <c r="BD82" s="241"/>
      <c r="BE82" s="241"/>
      <c r="BF82" s="242"/>
      <c r="BG82" s="240"/>
      <c r="BH82" s="241"/>
      <c r="BI82" s="241"/>
      <c r="BJ82" s="241"/>
      <c r="BK82" s="241"/>
      <c r="BL82" s="242"/>
    </row>
    <row r="83" spans="1:64" ht="31.5" hidden="1" customHeight="1" x14ac:dyDescent="0.25">
      <c r="A83" s="4"/>
      <c r="C83" s="281"/>
      <c r="D83" s="30"/>
      <c r="E83" s="30"/>
      <c r="F83" s="30"/>
      <c r="G83" s="28"/>
      <c r="H83" s="685"/>
      <c r="I83" s="690" t="s">
        <v>38</v>
      </c>
      <c r="J83" s="691"/>
      <c r="K83" s="691"/>
      <c r="L83" s="691"/>
      <c r="M83" s="691"/>
      <c r="N83" s="691"/>
      <c r="O83" s="691"/>
      <c r="P83" s="692"/>
      <c r="Q83" s="243"/>
      <c r="R83" s="244"/>
      <c r="S83" s="244"/>
      <c r="T83" s="244"/>
      <c r="U83" s="244"/>
      <c r="V83" s="245"/>
      <c r="W83" s="243"/>
      <c r="X83" s="244"/>
      <c r="Y83" s="244"/>
      <c r="Z83" s="244"/>
      <c r="AA83" s="244"/>
      <c r="AB83" s="245"/>
      <c r="AC83" s="243"/>
      <c r="AD83" s="244"/>
      <c r="AE83" s="244"/>
      <c r="AF83" s="244"/>
      <c r="AG83" s="244"/>
      <c r="AH83" s="245"/>
      <c r="AI83" s="243"/>
      <c r="AJ83" s="244"/>
      <c r="AK83" s="244"/>
      <c r="AL83" s="244"/>
      <c r="AM83" s="244"/>
      <c r="AN83" s="245"/>
      <c r="AO83" s="240"/>
      <c r="AP83" s="244"/>
      <c r="AQ83" s="244"/>
      <c r="AR83" s="244"/>
      <c r="AS83" s="244"/>
      <c r="AT83" s="245"/>
      <c r="AU83" s="243"/>
      <c r="AV83" s="244"/>
      <c r="AW83" s="165"/>
      <c r="AX83" s="6"/>
      <c r="AY83" s="6"/>
      <c r="AZ83" s="100"/>
      <c r="BA83" s="243"/>
      <c r="BB83" s="244"/>
      <c r="BC83" s="244"/>
      <c r="BD83" s="244"/>
      <c r="BE83" s="244"/>
      <c r="BF83" s="245"/>
      <c r="BG83" s="243"/>
      <c r="BH83" s="244"/>
      <c r="BI83" s="244"/>
      <c r="BJ83" s="244"/>
      <c r="BK83" s="244"/>
      <c r="BL83" s="245"/>
    </row>
    <row r="84" spans="1:64" ht="15.75" hidden="1" x14ac:dyDescent="0.25">
      <c r="A84" s="3"/>
      <c r="B84" s="31"/>
      <c r="C84" s="30"/>
      <c r="D84" s="281"/>
      <c r="E84" s="281"/>
      <c r="F84" s="30"/>
      <c r="G84" s="28"/>
      <c r="H84" s="685"/>
      <c r="I84" s="693" t="s">
        <v>3</v>
      </c>
      <c r="J84" s="694"/>
      <c r="K84" s="694"/>
      <c r="L84" s="694"/>
      <c r="M84" s="694"/>
      <c r="N84" s="694"/>
      <c r="O84" s="694"/>
      <c r="P84" s="695"/>
      <c r="Q84" s="116"/>
      <c r="R84" s="16"/>
      <c r="S84" s="16"/>
      <c r="T84" s="16"/>
      <c r="U84" s="16"/>
      <c r="V84" s="61"/>
      <c r="W84" s="116"/>
      <c r="X84" s="16"/>
      <c r="Y84" s="16"/>
      <c r="Z84" s="16"/>
      <c r="AA84" s="16"/>
      <c r="AB84" s="61">
        <v>5</v>
      </c>
      <c r="AC84" s="116"/>
      <c r="AD84" s="16"/>
      <c r="AE84" s="16"/>
      <c r="AF84" s="16"/>
      <c r="AG84" s="16"/>
      <c r="AH84" s="61"/>
      <c r="AI84" s="116"/>
      <c r="AJ84" s="16"/>
      <c r="AK84" s="16"/>
      <c r="AL84" s="16"/>
      <c r="AM84" s="16"/>
      <c r="AN84" s="61"/>
      <c r="AO84" s="243"/>
      <c r="AP84" s="16"/>
      <c r="AQ84" s="16"/>
      <c r="AR84" s="16"/>
      <c r="AS84" s="16"/>
      <c r="AT84" s="61"/>
      <c r="AU84" s="116"/>
      <c r="AV84" s="16"/>
      <c r="AW84" s="16"/>
      <c r="AX84" s="16"/>
      <c r="AY84" s="16"/>
      <c r="AZ84" s="61"/>
      <c r="BA84" s="116"/>
      <c r="BB84" s="16"/>
      <c r="BC84" s="16"/>
      <c r="BD84" s="16"/>
      <c r="BE84" s="16"/>
      <c r="BF84" s="61"/>
      <c r="BG84" s="116"/>
      <c r="BH84" s="16"/>
      <c r="BI84" s="16"/>
      <c r="BJ84" s="16"/>
      <c r="BK84" s="16"/>
      <c r="BL84" s="61"/>
    </row>
    <row r="85" spans="1:64" ht="15.75" hidden="1" x14ac:dyDescent="0.2">
      <c r="A85" s="3"/>
      <c r="B85" s="31"/>
      <c r="C85" s="30"/>
      <c r="D85" s="30"/>
      <c r="E85" s="30"/>
      <c r="F85" s="30"/>
      <c r="G85" s="28"/>
      <c r="H85" s="685"/>
      <c r="I85" s="693" t="s">
        <v>4</v>
      </c>
      <c r="J85" s="694"/>
      <c r="K85" s="694"/>
      <c r="L85" s="694"/>
      <c r="M85" s="694"/>
      <c r="N85" s="694"/>
      <c r="O85" s="694"/>
      <c r="P85" s="695"/>
      <c r="Q85" s="116"/>
      <c r="R85" s="16"/>
      <c r="S85" s="16"/>
      <c r="T85" s="16"/>
      <c r="U85" s="16"/>
      <c r="V85" s="61">
        <v>3</v>
      </c>
      <c r="W85" s="116"/>
      <c r="X85" s="16"/>
      <c r="Y85" s="16"/>
      <c r="Z85" s="16"/>
      <c r="AA85" s="16"/>
      <c r="AB85" s="61">
        <v>7</v>
      </c>
      <c r="AC85" s="116"/>
      <c r="AD85" s="16"/>
      <c r="AE85" s="16"/>
      <c r="AF85" s="16"/>
      <c r="AG85" s="16"/>
      <c r="AH85" s="61"/>
      <c r="AI85" s="116"/>
      <c r="AJ85" s="16"/>
      <c r="AK85" s="16"/>
      <c r="AL85" s="16"/>
      <c r="AM85" s="16"/>
      <c r="AN85" s="61"/>
      <c r="AO85" s="116"/>
      <c r="AP85" s="16"/>
      <c r="AQ85" s="16"/>
      <c r="AR85" s="16"/>
      <c r="AS85" s="16"/>
      <c r="AT85" s="61"/>
      <c r="AU85" s="116"/>
      <c r="AV85" s="16"/>
      <c r="AW85" s="16"/>
      <c r="AX85" s="16"/>
      <c r="AY85" s="16"/>
      <c r="AZ85" s="61"/>
      <c r="BA85" s="116"/>
      <c r="BB85" s="16"/>
      <c r="BC85" s="16"/>
      <c r="BD85" s="16"/>
      <c r="BE85" s="16"/>
      <c r="BF85" s="61"/>
      <c r="BG85" s="116"/>
      <c r="BH85" s="16"/>
      <c r="BI85" s="16"/>
      <c r="BJ85" s="16"/>
      <c r="BK85" s="16"/>
      <c r="BL85" s="61"/>
    </row>
    <row r="86" spans="1:64" ht="18" hidden="1" customHeight="1" thickBot="1" x14ac:dyDescent="0.25">
      <c r="A86" s="22"/>
      <c r="B86" s="32"/>
      <c r="C86" s="33"/>
      <c r="D86" s="34"/>
      <c r="E86" s="34"/>
      <c r="F86" s="33"/>
      <c r="G86" s="35"/>
      <c r="H86" s="686"/>
      <c r="I86" s="696" t="s">
        <v>51</v>
      </c>
      <c r="J86" s="697"/>
      <c r="K86" s="697"/>
      <c r="L86" s="697"/>
      <c r="M86" s="697"/>
      <c r="N86" s="697"/>
      <c r="O86" s="697"/>
      <c r="P86" s="698"/>
      <c r="Q86" s="166"/>
      <c r="R86" s="167"/>
      <c r="S86" s="167"/>
      <c r="T86" s="167"/>
      <c r="U86" s="167"/>
      <c r="V86" s="157">
        <v>6</v>
      </c>
      <c r="W86" s="166"/>
      <c r="X86" s="167"/>
      <c r="Y86" s="167"/>
      <c r="Z86" s="167"/>
      <c r="AA86" s="167"/>
      <c r="AB86" s="157"/>
      <c r="AC86" s="166"/>
      <c r="AD86" s="167"/>
      <c r="AE86" s="167"/>
      <c r="AF86" s="167"/>
      <c r="AG86" s="167"/>
      <c r="AH86" s="157"/>
      <c r="AI86" s="166"/>
      <c r="AJ86" s="167"/>
      <c r="AK86" s="167"/>
      <c r="AL86" s="167"/>
      <c r="AM86" s="167"/>
      <c r="AN86" s="157"/>
      <c r="AO86" s="166"/>
      <c r="AP86" s="167"/>
      <c r="AQ86" s="167"/>
      <c r="AR86" s="167"/>
      <c r="AS86" s="167"/>
      <c r="AT86" s="157"/>
      <c r="AU86" s="166"/>
      <c r="AV86" s="167"/>
      <c r="AW86" s="167"/>
      <c r="AX86" s="167"/>
      <c r="AY86" s="167"/>
      <c r="AZ86" s="157"/>
      <c r="BA86" s="166"/>
      <c r="BB86" s="167"/>
      <c r="BC86" s="167"/>
      <c r="BD86" s="167"/>
      <c r="BE86" s="167"/>
      <c r="BF86" s="157"/>
      <c r="BG86" s="166"/>
      <c r="BH86" s="167"/>
      <c r="BI86" s="167"/>
      <c r="BJ86" s="167"/>
      <c r="BK86" s="167"/>
      <c r="BL86" s="157"/>
    </row>
    <row r="87" spans="1:64" ht="31.5" x14ac:dyDescent="0.2">
      <c r="B87" s="29" t="s">
        <v>7</v>
      </c>
    </row>
  </sheetData>
  <mergeCells count="55">
    <mergeCell ref="B81:F82"/>
    <mergeCell ref="H81:H86"/>
    <mergeCell ref="I81:P81"/>
    <mergeCell ref="I82:P82"/>
    <mergeCell ref="I83:P83"/>
    <mergeCell ref="I84:P84"/>
    <mergeCell ref="I85:P85"/>
    <mergeCell ref="I86:P86"/>
    <mergeCell ref="BH7:BL7"/>
    <mergeCell ref="BA5:BL5"/>
    <mergeCell ref="BA6:BF6"/>
    <mergeCell ref="BG6:BL6"/>
    <mergeCell ref="W6:AB6"/>
    <mergeCell ref="W7:W8"/>
    <mergeCell ref="X7:AB7"/>
    <mergeCell ref="AO7:AO8"/>
    <mergeCell ref="Q3:BA4"/>
    <mergeCell ref="BA7:BA8"/>
    <mergeCell ref="BB7:BF7"/>
    <mergeCell ref="BG7:BG8"/>
    <mergeCell ref="Q7:Q8"/>
    <mergeCell ref="R7:V7"/>
    <mergeCell ref="Q6:V6"/>
    <mergeCell ref="K6:K8"/>
    <mergeCell ref="D2:AH2"/>
    <mergeCell ref="AC5:AN5"/>
    <mergeCell ref="AO5:AZ5"/>
    <mergeCell ref="Q5:AB5"/>
    <mergeCell ref="AP7:AT7"/>
    <mergeCell ref="AU7:AU8"/>
    <mergeCell ref="AV7:AZ7"/>
    <mergeCell ref="AC6:AH6"/>
    <mergeCell ref="AI6:AN6"/>
    <mergeCell ref="AO6:AT6"/>
    <mergeCell ref="AU6:AZ6"/>
    <mergeCell ref="AC7:AC8"/>
    <mergeCell ref="AD7:AH7"/>
    <mergeCell ref="AI7:AI8"/>
    <mergeCell ref="AJ7:AN7"/>
    <mergeCell ref="L6:L8"/>
    <mergeCell ref="A3:A8"/>
    <mergeCell ref="B3:B8"/>
    <mergeCell ref="C3:D5"/>
    <mergeCell ref="E3:E8"/>
    <mergeCell ref="F3:P3"/>
    <mergeCell ref="F4:F8"/>
    <mergeCell ref="G4:G8"/>
    <mergeCell ref="H4:P4"/>
    <mergeCell ref="H5:H8"/>
    <mergeCell ref="I5:P5"/>
    <mergeCell ref="C6:C8"/>
    <mergeCell ref="D6:D8"/>
    <mergeCell ref="M6:P7"/>
    <mergeCell ref="I6:I8"/>
    <mergeCell ref="J6:J8"/>
  </mergeCells>
  <phoneticPr fontId="2" type="noConversion"/>
  <pageMargins left="0.23622047244094488" right="0.23622047244094488" top="0.15748031496062992" bottom="0.3543307086614173" header="0.31496062992125984" footer="0.31496062992125984"/>
  <pageSetup paperSize="8" scale="56" fitToHeight="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1"/>
  <sheetViews>
    <sheetView workbookViewId="0">
      <selection activeCell="G24" sqref="A1:G24"/>
    </sheetView>
  </sheetViews>
  <sheetFormatPr defaultRowHeight="15.75" x14ac:dyDescent="0.25"/>
  <cols>
    <col min="1" max="1" width="8.5703125" style="530" customWidth="1"/>
    <col min="2" max="2" width="47" style="530" customWidth="1"/>
    <col min="3" max="3" width="11.28515625" style="530" customWidth="1"/>
    <col min="4" max="4" width="3.5703125" style="530" customWidth="1"/>
    <col min="5" max="5" width="5.5703125" style="530" customWidth="1"/>
    <col min="6" max="6" width="7" style="530" customWidth="1"/>
    <col min="7" max="7" width="80.5703125" style="530" customWidth="1"/>
    <col min="8" max="16384" width="9.140625" style="516"/>
  </cols>
  <sheetData>
    <row r="1" spans="1:7" ht="13.5" thickBot="1" x14ac:dyDescent="0.25">
      <c r="A1" s="703" t="s">
        <v>228</v>
      </c>
      <c r="B1" s="703"/>
      <c r="C1" s="703"/>
      <c r="D1" s="703"/>
      <c r="E1" s="703"/>
      <c r="F1" s="703" t="s">
        <v>229</v>
      </c>
      <c r="G1" s="703"/>
    </row>
    <row r="2" spans="1:7" ht="12.75" x14ac:dyDescent="0.2">
      <c r="A2" s="517" t="s">
        <v>230</v>
      </c>
      <c r="B2" s="518" t="s">
        <v>90</v>
      </c>
      <c r="C2" s="518" t="s">
        <v>231</v>
      </c>
      <c r="D2" s="704" t="s">
        <v>232</v>
      </c>
      <c r="E2" s="705"/>
      <c r="F2" s="517" t="s">
        <v>230</v>
      </c>
      <c r="G2" s="519" t="s">
        <v>90</v>
      </c>
    </row>
    <row r="3" spans="1:7" ht="12.75" x14ac:dyDescent="0.2">
      <c r="A3" s="520" t="s">
        <v>47</v>
      </c>
      <c r="B3" s="521" t="s">
        <v>24</v>
      </c>
      <c r="C3" s="522">
        <v>4</v>
      </c>
      <c r="D3" s="706">
        <v>1</v>
      </c>
      <c r="E3" s="707"/>
      <c r="F3" s="523"/>
      <c r="G3" s="524" t="s">
        <v>233</v>
      </c>
    </row>
    <row r="4" spans="1:7" ht="12.75" x14ac:dyDescent="0.2">
      <c r="A4" s="520" t="s">
        <v>26</v>
      </c>
      <c r="B4" s="521" t="s">
        <v>127</v>
      </c>
      <c r="C4" s="522">
        <v>4.5</v>
      </c>
      <c r="D4" s="706">
        <v>4</v>
      </c>
      <c r="E4" s="707"/>
      <c r="F4" s="523">
        <v>1</v>
      </c>
      <c r="G4" s="525" t="s">
        <v>211</v>
      </c>
    </row>
    <row r="5" spans="1:7" ht="12.75" x14ac:dyDescent="0.2">
      <c r="A5" s="520" t="s">
        <v>48</v>
      </c>
      <c r="B5" s="521" t="s">
        <v>24</v>
      </c>
      <c r="C5" s="522">
        <v>6</v>
      </c>
      <c r="D5" s="706">
        <v>5</v>
      </c>
      <c r="E5" s="707"/>
      <c r="F5" s="523">
        <v>2</v>
      </c>
      <c r="G5" s="525" t="s">
        <v>212</v>
      </c>
    </row>
    <row r="6" spans="1:7" ht="12.75" x14ac:dyDescent="0.2">
      <c r="A6" s="520" t="s">
        <v>28</v>
      </c>
      <c r="B6" s="521" t="s">
        <v>127</v>
      </c>
      <c r="C6" s="522">
        <v>6.7</v>
      </c>
      <c r="D6" s="706">
        <v>7</v>
      </c>
      <c r="E6" s="707"/>
      <c r="F6" s="523">
        <v>3</v>
      </c>
      <c r="G6" s="525" t="s">
        <v>213</v>
      </c>
    </row>
    <row r="7" spans="1:7" ht="12.75" x14ac:dyDescent="0.2">
      <c r="A7" s="520" t="s">
        <v>86</v>
      </c>
      <c r="B7" s="521" t="s">
        <v>24</v>
      </c>
      <c r="C7" s="526">
        <v>0</v>
      </c>
      <c r="D7" s="708">
        <v>0</v>
      </c>
      <c r="E7" s="709"/>
      <c r="F7" s="523">
        <v>4</v>
      </c>
      <c r="G7" s="525" t="s">
        <v>214</v>
      </c>
    </row>
    <row r="8" spans="1:7" ht="12.75" x14ac:dyDescent="0.2">
      <c r="A8" s="520" t="s">
        <v>87</v>
      </c>
      <c r="B8" s="521" t="s">
        <v>127</v>
      </c>
      <c r="C8" s="522">
        <v>8</v>
      </c>
      <c r="D8" s="706">
        <v>5</v>
      </c>
      <c r="E8" s="707"/>
      <c r="F8" s="523"/>
      <c r="G8" s="524" t="s">
        <v>91</v>
      </c>
    </row>
    <row r="9" spans="1:7" ht="12.75" x14ac:dyDescent="0.2">
      <c r="A9" s="520" t="s">
        <v>195</v>
      </c>
      <c r="B9" s="521" t="s">
        <v>127</v>
      </c>
      <c r="C9" s="526">
        <v>8</v>
      </c>
      <c r="D9" s="706">
        <v>5</v>
      </c>
      <c r="E9" s="707"/>
      <c r="F9" s="523">
        <v>1</v>
      </c>
      <c r="G9" s="525" t="s">
        <v>215</v>
      </c>
    </row>
    <row r="10" spans="1:7" ht="12.75" x14ac:dyDescent="0.2">
      <c r="A10" s="520"/>
      <c r="B10" s="521"/>
      <c r="C10" s="526"/>
      <c r="D10" s="708"/>
      <c r="E10" s="709"/>
      <c r="F10" s="523">
        <v>2</v>
      </c>
      <c r="G10" s="525" t="s">
        <v>216</v>
      </c>
    </row>
    <row r="11" spans="1:7" ht="13.5" thickBot="1" x14ac:dyDescent="0.25">
      <c r="A11" s="699" t="s">
        <v>2</v>
      </c>
      <c r="B11" s="700"/>
      <c r="C11" s="527"/>
      <c r="D11" s="701">
        <f>SUM(D3:E10)</f>
        <v>27</v>
      </c>
      <c r="E11" s="702"/>
      <c r="F11" s="523">
        <v>3</v>
      </c>
      <c r="G11" s="525" t="s">
        <v>217</v>
      </c>
    </row>
    <row r="12" spans="1:7" ht="12.75" x14ac:dyDescent="0.2">
      <c r="A12" s="528"/>
      <c r="B12" s="528"/>
      <c r="C12" s="528"/>
      <c r="D12" s="528"/>
      <c r="E12" s="529"/>
      <c r="F12" s="523">
        <v>4</v>
      </c>
      <c r="G12" s="525" t="s">
        <v>218</v>
      </c>
    </row>
    <row r="13" spans="1:7" x14ac:dyDescent="0.25">
      <c r="F13" s="523">
        <v>5</v>
      </c>
      <c r="G13" s="525" t="s">
        <v>219</v>
      </c>
    </row>
    <row r="14" spans="1:7" ht="12.75" x14ac:dyDescent="0.2">
      <c r="A14" s="528"/>
      <c r="B14" s="528"/>
      <c r="C14" s="528"/>
      <c r="D14" s="528"/>
      <c r="E14" s="529"/>
      <c r="F14" s="523">
        <v>6</v>
      </c>
      <c r="G14" s="525" t="s">
        <v>220</v>
      </c>
    </row>
    <row r="15" spans="1:7" ht="12.75" x14ac:dyDescent="0.2">
      <c r="A15" s="528"/>
      <c r="B15" s="528"/>
      <c r="C15" s="528"/>
      <c r="D15" s="528"/>
      <c r="E15" s="529"/>
      <c r="F15" s="531" t="s">
        <v>221</v>
      </c>
      <c r="G15" s="524" t="s">
        <v>222</v>
      </c>
    </row>
    <row r="16" spans="1:7" ht="12.75" x14ac:dyDescent="0.2">
      <c r="A16" s="528"/>
      <c r="B16" s="528"/>
      <c r="C16" s="528"/>
      <c r="D16" s="528"/>
      <c r="E16" s="529"/>
      <c r="F16" s="531">
        <v>1</v>
      </c>
      <c r="G16" s="525" t="s">
        <v>223</v>
      </c>
    </row>
    <row r="17" spans="1:7" ht="12.75" x14ac:dyDescent="0.2">
      <c r="A17" s="528"/>
      <c r="B17" s="528"/>
      <c r="C17" s="528"/>
      <c r="D17" s="528"/>
      <c r="E17" s="529"/>
      <c r="F17" s="523"/>
      <c r="G17" s="524" t="s">
        <v>92</v>
      </c>
    </row>
    <row r="18" spans="1:7" ht="12.75" x14ac:dyDescent="0.2">
      <c r="A18" s="532"/>
      <c r="B18" s="533"/>
      <c r="C18" s="532"/>
      <c r="D18" s="532"/>
      <c r="E18" s="529"/>
      <c r="F18" s="523">
        <v>1</v>
      </c>
      <c r="G18" s="521" t="s">
        <v>224</v>
      </c>
    </row>
    <row r="19" spans="1:7" ht="12.75" x14ac:dyDescent="0.2">
      <c r="A19" s="528"/>
      <c r="B19" s="534"/>
      <c r="C19" s="528"/>
      <c r="D19" s="528"/>
      <c r="E19" s="535"/>
      <c r="F19" s="523">
        <v>2</v>
      </c>
      <c r="G19" s="521" t="s">
        <v>225</v>
      </c>
    </row>
    <row r="20" spans="1:7" ht="12.75" x14ac:dyDescent="0.2">
      <c r="A20" s="528"/>
      <c r="B20" s="534"/>
      <c r="C20" s="528"/>
      <c r="D20" s="528"/>
      <c r="E20" s="535"/>
      <c r="F20" s="523"/>
      <c r="G20" s="536" t="s">
        <v>93</v>
      </c>
    </row>
    <row r="21" spans="1:7" ht="12.75" x14ac:dyDescent="0.2">
      <c r="A21" s="528"/>
      <c r="B21" s="534"/>
      <c r="C21" s="532"/>
      <c r="D21" s="532"/>
      <c r="E21" s="535"/>
      <c r="F21" s="523">
        <v>1</v>
      </c>
      <c r="G21" s="537" t="s">
        <v>226</v>
      </c>
    </row>
    <row r="22" spans="1:7" ht="12.75" x14ac:dyDescent="0.2">
      <c r="A22" s="532"/>
      <c r="B22" s="534"/>
      <c r="C22" s="532"/>
      <c r="D22" s="532"/>
      <c r="E22" s="535"/>
      <c r="F22" s="523">
        <v>2</v>
      </c>
      <c r="G22" s="537" t="s">
        <v>227</v>
      </c>
    </row>
    <row r="23" spans="1:7" ht="12.75" x14ac:dyDescent="0.2">
      <c r="A23" s="528"/>
      <c r="B23" s="534"/>
      <c r="C23" s="528"/>
      <c r="D23" s="528"/>
      <c r="E23" s="529"/>
      <c r="F23" s="523"/>
      <c r="G23" s="525"/>
    </row>
    <row r="24" spans="1:7" ht="12.75" x14ac:dyDescent="0.2">
      <c r="A24" s="528"/>
      <c r="B24" s="534"/>
      <c r="C24" s="528"/>
      <c r="D24" s="528"/>
      <c r="E24" s="529"/>
      <c r="F24" s="523"/>
      <c r="G24" s="525"/>
    </row>
    <row r="25" spans="1:7" x14ac:dyDescent="0.25">
      <c r="B25" s="538"/>
    </row>
    <row r="26" spans="1:7" x14ac:dyDescent="0.25">
      <c r="B26" s="539"/>
    </row>
    <row r="27" spans="1:7" x14ac:dyDescent="0.25">
      <c r="B27" s="539"/>
    </row>
    <row r="28" spans="1:7" x14ac:dyDescent="0.25">
      <c r="B28" s="539"/>
    </row>
    <row r="29" spans="1:7" x14ac:dyDescent="0.25">
      <c r="B29" s="538"/>
    </row>
    <row r="30" spans="1:7" x14ac:dyDescent="0.25">
      <c r="B30" s="539"/>
    </row>
    <row r="31" spans="1:7" x14ac:dyDescent="0.25">
      <c r="B31" s="539"/>
    </row>
  </sheetData>
  <mergeCells count="13">
    <mergeCell ref="A11:B11"/>
    <mergeCell ref="D11:E11"/>
    <mergeCell ref="A1:E1"/>
    <mergeCell ref="F1:G1"/>
    <mergeCell ref="D2:E2"/>
    <mergeCell ref="D3:E3"/>
    <mergeCell ref="D4:E4"/>
    <mergeCell ref="D5:E5"/>
    <mergeCell ref="D6:E6"/>
    <mergeCell ref="D7:E7"/>
    <mergeCell ref="D8:E8"/>
    <mergeCell ref="D9:E9"/>
    <mergeCell ref="D10:E10"/>
  </mergeCells>
  <pageMargins left="0.7" right="0.7" top="0.75" bottom="0.75" header="0.3" footer="0.3"/>
  <pageSetup paperSize="9" scale="81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05"/>
  <sheetViews>
    <sheetView topLeftCell="A4" workbookViewId="0">
      <selection activeCell="B1" sqref="B1:D15"/>
    </sheetView>
  </sheetViews>
  <sheetFormatPr defaultColWidth="11.42578125" defaultRowHeight="15" x14ac:dyDescent="0.25"/>
  <cols>
    <col min="1" max="1" width="2.85546875" style="542" customWidth="1"/>
    <col min="2" max="2" width="67.28515625" style="542" customWidth="1"/>
    <col min="3" max="3" width="29.42578125" style="542" customWidth="1"/>
    <col min="4" max="4" width="60.5703125" style="542" customWidth="1"/>
    <col min="5" max="16384" width="11.42578125" style="542"/>
  </cols>
  <sheetData>
    <row r="1" spans="1:8" ht="11.65" customHeight="1" x14ac:dyDescent="0.25">
      <c r="A1" s="540"/>
      <c r="B1" s="713" t="s">
        <v>234</v>
      </c>
      <c r="C1" s="714"/>
      <c r="D1" s="715"/>
      <c r="E1" s="541"/>
      <c r="F1" s="541"/>
      <c r="G1" s="541"/>
      <c r="H1" s="541"/>
    </row>
    <row r="2" spans="1:8" ht="409.5" customHeight="1" x14ac:dyDescent="0.25">
      <c r="A2" s="540"/>
      <c r="B2" s="716" t="s">
        <v>247</v>
      </c>
      <c r="C2" s="717"/>
      <c r="D2" s="718"/>
      <c r="E2" s="541"/>
      <c r="F2" s="541"/>
      <c r="G2" s="541"/>
      <c r="H2" s="541"/>
    </row>
    <row r="3" spans="1:8" ht="48.75" customHeight="1" x14ac:dyDescent="0.25">
      <c r="A3" s="540"/>
      <c r="B3" s="716" t="s">
        <v>248</v>
      </c>
      <c r="C3" s="717"/>
      <c r="D3" s="718"/>
      <c r="E3" s="541"/>
      <c r="F3" s="541"/>
      <c r="G3" s="541"/>
      <c r="H3" s="541"/>
    </row>
    <row r="4" spans="1:8" ht="43.5" customHeight="1" x14ac:dyDescent="0.25">
      <c r="A4" s="540"/>
      <c r="B4" s="719" t="s">
        <v>235</v>
      </c>
      <c r="C4" s="720"/>
      <c r="D4" s="721"/>
      <c r="E4" s="541"/>
      <c r="F4" s="541"/>
      <c r="G4" s="541"/>
      <c r="H4" s="541"/>
    </row>
    <row r="5" spans="1:8" ht="30" customHeight="1" x14ac:dyDescent="0.25">
      <c r="A5" s="540"/>
      <c r="B5" s="722" t="s">
        <v>236</v>
      </c>
      <c r="C5" s="723"/>
      <c r="D5" s="724"/>
      <c r="E5" s="541"/>
      <c r="F5" s="541"/>
      <c r="G5" s="541"/>
      <c r="H5" s="541"/>
    </row>
    <row r="6" spans="1:8" ht="59.25" customHeight="1" x14ac:dyDescent="0.25">
      <c r="A6" s="540"/>
      <c r="B6" s="719" t="s">
        <v>237</v>
      </c>
      <c r="C6" s="720"/>
      <c r="D6" s="721"/>
      <c r="E6" s="541"/>
      <c r="F6" s="541"/>
      <c r="G6" s="541"/>
      <c r="H6" s="541"/>
    </row>
    <row r="7" spans="1:8" ht="103.5" customHeight="1" x14ac:dyDescent="0.25">
      <c r="A7" s="540"/>
      <c r="B7" s="719" t="s">
        <v>238</v>
      </c>
      <c r="C7" s="720"/>
      <c r="D7" s="721"/>
      <c r="E7" s="541"/>
      <c r="F7" s="541"/>
      <c r="G7" s="541"/>
      <c r="H7" s="541"/>
    </row>
    <row r="8" spans="1:8" ht="18" customHeight="1" x14ac:dyDescent="0.25">
      <c r="A8" s="540"/>
      <c r="B8" s="719" t="s">
        <v>239</v>
      </c>
      <c r="C8" s="720"/>
      <c r="D8" s="721"/>
      <c r="E8" s="541"/>
      <c r="F8" s="541"/>
      <c r="G8" s="541"/>
      <c r="H8" s="541"/>
    </row>
    <row r="9" spans="1:8" ht="74.25" customHeight="1" x14ac:dyDescent="0.25">
      <c r="A9" s="540"/>
      <c r="B9" s="719" t="s">
        <v>240</v>
      </c>
      <c r="C9" s="720"/>
      <c r="D9" s="721"/>
      <c r="E9" s="541"/>
      <c r="F9" s="541"/>
      <c r="G9" s="541"/>
      <c r="H9" s="541"/>
    </row>
    <row r="10" spans="1:8" ht="105.4" customHeight="1" x14ac:dyDescent="0.25">
      <c r="A10" s="540"/>
      <c r="B10" s="719" t="s">
        <v>241</v>
      </c>
      <c r="C10" s="720"/>
      <c r="D10" s="721"/>
      <c r="E10" s="541"/>
      <c r="F10" s="541"/>
      <c r="G10" s="541"/>
      <c r="H10" s="541"/>
    </row>
    <row r="11" spans="1:8" ht="23.25" customHeight="1" x14ac:dyDescent="0.25">
      <c r="A11" s="540"/>
      <c r="B11" s="719" t="s">
        <v>242</v>
      </c>
      <c r="C11" s="720"/>
      <c r="D11" s="721"/>
      <c r="E11" s="541"/>
      <c r="F11" s="541"/>
      <c r="G11" s="541"/>
      <c r="H11" s="541"/>
    </row>
    <row r="12" spans="1:8" ht="21" customHeight="1" x14ac:dyDescent="0.25">
      <c r="A12" s="540"/>
      <c r="B12" s="710" t="s">
        <v>243</v>
      </c>
      <c r="C12" s="711"/>
      <c r="D12" s="712"/>
      <c r="E12" s="541"/>
      <c r="F12" s="541"/>
      <c r="G12" s="541"/>
      <c r="H12" s="541"/>
    </row>
    <row r="13" spans="1:8" ht="15" customHeight="1" x14ac:dyDescent="0.25">
      <c r="A13" s="540"/>
      <c r="B13" s="543" t="s">
        <v>244</v>
      </c>
      <c r="C13" s="544"/>
      <c r="D13" s="543"/>
      <c r="E13" s="541"/>
      <c r="F13" s="541"/>
      <c r="G13" s="541"/>
      <c r="H13" s="541"/>
    </row>
    <row r="14" spans="1:8" ht="15" customHeight="1" x14ac:dyDescent="0.25">
      <c r="A14" s="540"/>
      <c r="B14" s="543" t="s">
        <v>245</v>
      </c>
      <c r="C14" s="544"/>
      <c r="D14" s="543"/>
      <c r="E14" s="541"/>
      <c r="F14" s="541"/>
      <c r="G14" s="541"/>
      <c r="H14" s="541"/>
    </row>
    <row r="15" spans="1:8" ht="15" customHeight="1" x14ac:dyDescent="0.25">
      <c r="A15" s="540"/>
      <c r="B15" s="543" t="s">
        <v>246</v>
      </c>
      <c r="C15" s="544"/>
      <c r="D15" s="543"/>
      <c r="E15" s="541"/>
      <c r="F15" s="541"/>
      <c r="G15" s="541"/>
      <c r="H15" s="541"/>
    </row>
    <row r="16" spans="1:8" ht="15" customHeight="1" x14ac:dyDescent="0.25">
      <c r="A16" s="540"/>
      <c r="B16" s="543"/>
      <c r="C16" s="544"/>
      <c r="D16" s="543"/>
      <c r="E16" s="541"/>
      <c r="F16" s="541"/>
      <c r="G16" s="541"/>
      <c r="H16" s="541"/>
    </row>
    <row r="17" spans="1:8" ht="15" customHeight="1" x14ac:dyDescent="0.25">
      <c r="A17" s="540"/>
      <c r="B17" s="543"/>
      <c r="C17" s="544"/>
      <c r="D17" s="543"/>
      <c r="E17" s="541"/>
      <c r="F17" s="541"/>
      <c r="G17" s="541"/>
      <c r="H17" s="541"/>
    </row>
    <row r="18" spans="1:8" ht="14.25" customHeight="1" x14ac:dyDescent="0.25">
      <c r="A18" s="541"/>
      <c r="B18" s="541"/>
      <c r="C18" s="541"/>
      <c r="D18" s="541"/>
      <c r="E18" s="541"/>
      <c r="F18" s="541"/>
      <c r="G18" s="541"/>
      <c r="H18" s="541"/>
    </row>
    <row r="19" spans="1:8" ht="14.25" customHeight="1" x14ac:dyDescent="0.25">
      <c r="A19" s="541"/>
      <c r="B19" s="541"/>
      <c r="C19" s="541"/>
      <c r="D19" s="541"/>
      <c r="E19" s="541"/>
      <c r="F19" s="541"/>
      <c r="G19" s="541"/>
      <c r="H19" s="541"/>
    </row>
    <row r="20" spans="1:8" ht="14.25" customHeight="1" x14ac:dyDescent="0.25">
      <c r="A20" s="541"/>
      <c r="B20" s="541"/>
      <c r="C20" s="541"/>
      <c r="D20" s="541"/>
      <c r="E20" s="541"/>
      <c r="F20" s="541"/>
      <c r="G20" s="541"/>
      <c r="H20" s="541"/>
    </row>
    <row r="21" spans="1:8" ht="14.25" customHeight="1" x14ac:dyDescent="0.25">
      <c r="A21" s="541"/>
      <c r="B21" s="541"/>
      <c r="C21" s="541"/>
      <c r="D21" s="541"/>
      <c r="E21" s="541"/>
      <c r="F21" s="541"/>
      <c r="G21" s="541"/>
      <c r="H21" s="541"/>
    </row>
    <row r="22" spans="1:8" ht="14.25" customHeight="1" x14ac:dyDescent="0.25">
      <c r="A22" s="541"/>
      <c r="B22" s="541"/>
      <c r="C22" s="541"/>
      <c r="D22" s="541"/>
      <c r="E22" s="541"/>
      <c r="F22" s="541"/>
      <c r="G22" s="541"/>
      <c r="H22" s="541"/>
    </row>
    <row r="23" spans="1:8" ht="14.25" customHeight="1" x14ac:dyDescent="0.25">
      <c r="A23" s="541"/>
      <c r="B23" s="541"/>
      <c r="C23" s="541"/>
      <c r="D23" s="541"/>
      <c r="E23" s="541"/>
      <c r="F23" s="541"/>
      <c r="G23" s="541"/>
      <c r="H23" s="541"/>
    </row>
    <row r="24" spans="1:8" ht="14.25" customHeight="1" x14ac:dyDescent="0.25">
      <c r="A24" s="541"/>
      <c r="B24" s="541"/>
      <c r="C24" s="541"/>
      <c r="D24" s="541"/>
      <c r="E24" s="541"/>
      <c r="F24" s="541"/>
      <c r="G24" s="541"/>
      <c r="H24" s="541"/>
    </row>
    <row r="25" spans="1:8" ht="14.25" customHeight="1" x14ac:dyDescent="0.25">
      <c r="A25" s="541"/>
      <c r="B25" s="541"/>
      <c r="C25" s="541"/>
      <c r="D25" s="541"/>
      <c r="E25" s="541"/>
      <c r="F25" s="541"/>
      <c r="G25" s="541"/>
      <c r="H25" s="541"/>
    </row>
    <row r="26" spans="1:8" ht="14.25" customHeight="1" x14ac:dyDescent="0.25">
      <c r="A26" s="541"/>
      <c r="B26" s="541"/>
      <c r="C26" s="541"/>
      <c r="D26" s="541"/>
      <c r="E26" s="541"/>
      <c r="F26" s="541"/>
      <c r="G26" s="541"/>
      <c r="H26" s="541"/>
    </row>
    <row r="27" spans="1:8" ht="14.25" customHeight="1" x14ac:dyDescent="0.25">
      <c r="A27" s="541"/>
      <c r="B27" s="541"/>
      <c r="C27" s="541"/>
      <c r="D27" s="541"/>
      <c r="E27" s="541"/>
      <c r="F27" s="541"/>
      <c r="G27" s="541"/>
      <c r="H27" s="541"/>
    </row>
    <row r="28" spans="1:8" ht="14.25" customHeight="1" x14ac:dyDescent="0.25">
      <c r="A28" s="541"/>
      <c r="B28" s="541"/>
      <c r="C28" s="541"/>
      <c r="D28" s="541"/>
      <c r="E28" s="541"/>
      <c r="F28" s="541"/>
      <c r="G28" s="541"/>
      <c r="H28" s="541"/>
    </row>
    <row r="29" spans="1:8" ht="14.25" customHeight="1" x14ac:dyDescent="0.25">
      <c r="A29" s="541"/>
      <c r="B29" s="541"/>
      <c r="C29" s="541"/>
      <c r="D29" s="541"/>
      <c r="E29" s="541"/>
      <c r="F29" s="541"/>
      <c r="G29" s="541"/>
      <c r="H29" s="541"/>
    </row>
    <row r="30" spans="1:8" ht="14.25" customHeight="1" x14ac:dyDescent="0.25">
      <c r="A30" s="541"/>
      <c r="B30" s="541"/>
      <c r="C30" s="541"/>
      <c r="D30" s="541"/>
      <c r="E30" s="541"/>
      <c r="F30" s="541"/>
      <c r="G30" s="541"/>
      <c r="H30" s="541"/>
    </row>
    <row r="31" spans="1:8" ht="14.25" customHeight="1" x14ac:dyDescent="0.25">
      <c r="A31" s="541"/>
      <c r="B31" s="541"/>
      <c r="C31" s="541"/>
      <c r="D31" s="541"/>
      <c r="E31" s="541"/>
      <c r="F31" s="541"/>
      <c r="G31" s="541"/>
      <c r="H31" s="541"/>
    </row>
    <row r="32" spans="1:8" ht="14.25" customHeight="1" x14ac:dyDescent="0.25">
      <c r="A32" s="541"/>
      <c r="B32" s="541"/>
      <c r="C32" s="541"/>
      <c r="D32" s="541"/>
      <c r="E32" s="541"/>
      <c r="F32" s="541"/>
      <c r="G32" s="541"/>
      <c r="H32" s="541"/>
    </row>
    <row r="33" spans="1:8" ht="14.25" customHeight="1" x14ac:dyDescent="0.25">
      <c r="A33" s="541"/>
      <c r="B33" s="541"/>
      <c r="C33" s="541"/>
      <c r="D33" s="541"/>
      <c r="E33" s="541"/>
      <c r="F33" s="541"/>
      <c r="G33" s="541"/>
      <c r="H33" s="541"/>
    </row>
    <row r="34" spans="1:8" ht="14.25" customHeight="1" x14ac:dyDescent="0.25">
      <c r="A34" s="541"/>
      <c r="B34" s="541"/>
      <c r="C34" s="541"/>
      <c r="D34" s="541"/>
      <c r="E34" s="541"/>
      <c r="F34" s="541"/>
      <c r="G34" s="541"/>
      <c r="H34" s="541"/>
    </row>
    <row r="35" spans="1:8" ht="14.25" customHeight="1" x14ac:dyDescent="0.25">
      <c r="A35" s="541"/>
      <c r="B35" s="541"/>
      <c r="C35" s="541"/>
      <c r="D35" s="541"/>
      <c r="E35" s="541"/>
      <c r="F35" s="541"/>
      <c r="G35" s="541"/>
      <c r="H35" s="541"/>
    </row>
    <row r="36" spans="1:8" ht="14.25" customHeight="1" x14ac:dyDescent="0.25">
      <c r="A36" s="541"/>
      <c r="B36" s="541"/>
      <c r="C36" s="541"/>
      <c r="D36" s="541"/>
      <c r="E36" s="541"/>
      <c r="F36" s="541"/>
      <c r="G36" s="541"/>
      <c r="H36" s="541"/>
    </row>
    <row r="37" spans="1:8" ht="14.25" customHeight="1" x14ac:dyDescent="0.25">
      <c r="A37" s="541"/>
      <c r="B37" s="541"/>
      <c r="C37" s="541"/>
      <c r="D37" s="541"/>
      <c r="E37" s="541"/>
      <c r="F37" s="541"/>
      <c r="G37" s="541"/>
      <c r="H37" s="541"/>
    </row>
    <row r="38" spans="1:8" ht="14.25" customHeight="1" x14ac:dyDescent="0.25">
      <c r="A38" s="541"/>
      <c r="B38" s="541"/>
      <c r="C38" s="541"/>
      <c r="D38" s="541"/>
      <c r="E38" s="541"/>
      <c r="F38" s="541"/>
      <c r="G38" s="541"/>
      <c r="H38" s="541"/>
    </row>
    <row r="39" spans="1:8" ht="14.25" customHeight="1" x14ac:dyDescent="0.25">
      <c r="A39" s="541"/>
      <c r="B39" s="541"/>
      <c r="C39" s="541"/>
      <c r="D39" s="541"/>
      <c r="E39" s="541"/>
      <c r="F39" s="541"/>
      <c r="G39" s="541"/>
      <c r="H39" s="541"/>
    </row>
    <row r="40" spans="1:8" ht="14.25" customHeight="1" x14ac:dyDescent="0.25">
      <c r="A40" s="541"/>
      <c r="B40" s="541"/>
      <c r="C40" s="541"/>
      <c r="D40" s="541"/>
      <c r="E40" s="541"/>
      <c r="F40" s="541"/>
      <c r="G40" s="541"/>
      <c r="H40" s="541"/>
    </row>
    <row r="41" spans="1:8" ht="14.25" customHeight="1" x14ac:dyDescent="0.25">
      <c r="A41" s="541"/>
      <c r="B41" s="541"/>
      <c r="C41" s="541"/>
      <c r="D41" s="541"/>
      <c r="E41" s="541"/>
      <c r="F41" s="541"/>
      <c r="G41" s="541"/>
      <c r="H41" s="541"/>
    </row>
    <row r="42" spans="1:8" ht="14.25" customHeight="1" x14ac:dyDescent="0.25">
      <c r="A42" s="541"/>
      <c r="B42" s="541"/>
      <c r="C42" s="541"/>
      <c r="D42" s="541"/>
      <c r="E42" s="541"/>
      <c r="F42" s="541"/>
      <c r="G42" s="541"/>
      <c r="H42" s="541"/>
    </row>
    <row r="43" spans="1:8" ht="14.25" customHeight="1" x14ac:dyDescent="0.25">
      <c r="A43" s="541"/>
      <c r="B43" s="541"/>
      <c r="C43" s="541"/>
      <c r="D43" s="541"/>
      <c r="E43" s="541"/>
      <c r="F43" s="541"/>
      <c r="G43" s="541"/>
      <c r="H43" s="541"/>
    </row>
    <row r="44" spans="1:8" ht="14.25" customHeight="1" x14ac:dyDescent="0.25">
      <c r="A44" s="541"/>
      <c r="B44" s="541"/>
      <c r="C44" s="541"/>
      <c r="D44" s="541"/>
      <c r="E44" s="541"/>
      <c r="F44" s="541"/>
      <c r="G44" s="541"/>
      <c r="H44" s="541"/>
    </row>
    <row r="45" spans="1:8" ht="14.25" customHeight="1" x14ac:dyDescent="0.25">
      <c r="A45" s="541"/>
      <c r="B45" s="541"/>
      <c r="C45" s="541"/>
      <c r="D45" s="541"/>
      <c r="E45" s="541"/>
      <c r="F45" s="541"/>
      <c r="G45" s="541"/>
      <c r="H45" s="541"/>
    </row>
    <row r="46" spans="1:8" ht="14.25" customHeight="1" x14ac:dyDescent="0.25">
      <c r="A46" s="541"/>
      <c r="B46" s="541"/>
      <c r="C46" s="541"/>
      <c r="D46" s="541"/>
      <c r="E46" s="541"/>
      <c r="F46" s="541"/>
      <c r="G46" s="541"/>
      <c r="H46" s="541"/>
    </row>
    <row r="47" spans="1:8" ht="14.25" customHeight="1" x14ac:dyDescent="0.25">
      <c r="A47" s="541"/>
      <c r="B47" s="541"/>
      <c r="C47" s="541"/>
      <c r="D47" s="541"/>
      <c r="E47" s="541"/>
      <c r="F47" s="541"/>
      <c r="G47" s="541"/>
      <c r="H47" s="541"/>
    </row>
    <row r="48" spans="1:8" ht="14.25" customHeight="1" x14ac:dyDescent="0.25">
      <c r="A48" s="541"/>
      <c r="B48" s="541"/>
      <c r="C48" s="541"/>
      <c r="D48" s="541"/>
      <c r="E48" s="541"/>
      <c r="F48" s="541"/>
      <c r="G48" s="541"/>
      <c r="H48" s="541"/>
    </row>
    <row r="49" spans="1:8" ht="14.25" customHeight="1" x14ac:dyDescent="0.25">
      <c r="A49" s="541"/>
      <c r="B49" s="541"/>
      <c r="C49" s="541"/>
      <c r="D49" s="541"/>
      <c r="E49" s="541"/>
      <c r="F49" s="541"/>
      <c r="G49" s="541"/>
      <c r="H49" s="541"/>
    </row>
    <row r="50" spans="1:8" ht="14.25" customHeight="1" x14ac:dyDescent="0.25">
      <c r="A50" s="541"/>
      <c r="B50" s="541"/>
      <c r="C50" s="541"/>
      <c r="D50" s="541"/>
      <c r="E50" s="541"/>
      <c r="F50" s="541"/>
      <c r="G50" s="541"/>
      <c r="H50" s="541"/>
    </row>
    <row r="51" spans="1:8" ht="14.25" customHeight="1" x14ac:dyDescent="0.25">
      <c r="A51" s="541"/>
      <c r="B51" s="541"/>
      <c r="C51" s="541"/>
      <c r="D51" s="541"/>
      <c r="E51" s="541"/>
      <c r="F51" s="541"/>
      <c r="G51" s="541"/>
      <c r="H51" s="541"/>
    </row>
    <row r="52" spans="1:8" ht="14.25" customHeight="1" x14ac:dyDescent="0.25">
      <c r="A52" s="541"/>
      <c r="B52" s="541"/>
      <c r="C52" s="541"/>
      <c r="D52" s="541"/>
      <c r="E52" s="541"/>
      <c r="F52" s="541"/>
      <c r="G52" s="541"/>
      <c r="H52" s="541"/>
    </row>
    <row r="53" spans="1:8" ht="14.25" customHeight="1" x14ac:dyDescent="0.25">
      <c r="A53" s="541"/>
      <c r="B53" s="541"/>
      <c r="C53" s="541"/>
      <c r="D53" s="541"/>
      <c r="E53" s="541"/>
      <c r="F53" s="541"/>
      <c r="G53" s="541"/>
      <c r="H53" s="541"/>
    </row>
    <row r="54" spans="1:8" ht="14.25" customHeight="1" x14ac:dyDescent="0.25">
      <c r="A54" s="541"/>
      <c r="B54" s="541"/>
      <c r="C54" s="541"/>
      <c r="D54" s="541"/>
      <c r="E54" s="541"/>
      <c r="F54" s="541"/>
      <c r="G54" s="541"/>
      <c r="H54" s="541"/>
    </row>
    <row r="55" spans="1:8" ht="14.25" customHeight="1" x14ac:dyDescent="0.25">
      <c r="A55" s="541"/>
      <c r="B55" s="541"/>
      <c r="C55" s="541"/>
      <c r="D55" s="541"/>
      <c r="E55" s="541"/>
      <c r="F55" s="541"/>
      <c r="G55" s="541"/>
      <c r="H55" s="541"/>
    </row>
    <row r="56" spans="1:8" ht="14.25" customHeight="1" x14ac:dyDescent="0.25">
      <c r="A56" s="541"/>
      <c r="B56" s="541"/>
      <c r="C56" s="541"/>
      <c r="D56" s="541"/>
      <c r="E56" s="541"/>
      <c r="F56" s="541"/>
      <c r="G56" s="541"/>
      <c r="H56" s="541"/>
    </row>
    <row r="57" spans="1:8" ht="14.25" customHeight="1" x14ac:dyDescent="0.25">
      <c r="A57" s="541"/>
      <c r="B57" s="541"/>
      <c r="C57" s="541"/>
      <c r="D57" s="541"/>
      <c r="E57" s="541"/>
      <c r="F57" s="541"/>
      <c r="G57" s="541"/>
      <c r="H57" s="541"/>
    </row>
    <row r="58" spans="1:8" ht="14.25" customHeight="1" x14ac:dyDescent="0.25">
      <c r="A58" s="541"/>
      <c r="B58" s="541"/>
      <c r="C58" s="541"/>
      <c r="D58" s="541"/>
      <c r="E58" s="541"/>
      <c r="F58" s="541"/>
      <c r="G58" s="541"/>
      <c r="H58" s="541"/>
    </row>
    <row r="59" spans="1:8" ht="14.25" customHeight="1" x14ac:dyDescent="0.25">
      <c r="A59" s="541"/>
      <c r="B59" s="541"/>
      <c r="C59" s="541"/>
      <c r="D59" s="541"/>
      <c r="E59" s="541"/>
      <c r="F59" s="541"/>
      <c r="G59" s="541"/>
      <c r="H59" s="541"/>
    </row>
    <row r="60" spans="1:8" ht="14.25" customHeight="1" x14ac:dyDescent="0.25">
      <c r="A60" s="541"/>
      <c r="B60" s="541"/>
      <c r="C60" s="541"/>
      <c r="D60" s="541"/>
      <c r="E60" s="541"/>
      <c r="F60" s="541"/>
      <c r="G60" s="541"/>
      <c r="H60" s="541"/>
    </row>
    <row r="61" spans="1:8" ht="14.25" customHeight="1" x14ac:dyDescent="0.25">
      <c r="A61" s="541"/>
      <c r="B61" s="541"/>
      <c r="C61" s="541"/>
      <c r="D61" s="541"/>
      <c r="E61" s="541"/>
      <c r="F61" s="541"/>
      <c r="G61" s="541"/>
      <c r="H61" s="541"/>
    </row>
    <row r="62" spans="1:8" ht="14.25" customHeight="1" x14ac:dyDescent="0.25">
      <c r="A62" s="541"/>
      <c r="B62" s="541"/>
      <c r="C62" s="541"/>
      <c r="D62" s="541"/>
      <c r="E62" s="541"/>
      <c r="F62" s="541"/>
      <c r="G62" s="541"/>
      <c r="H62" s="541"/>
    </row>
    <row r="63" spans="1:8" ht="14.25" customHeight="1" x14ac:dyDescent="0.25">
      <c r="A63" s="541"/>
      <c r="B63" s="541"/>
      <c r="C63" s="541"/>
      <c r="D63" s="541"/>
      <c r="E63" s="541"/>
      <c r="F63" s="541"/>
      <c r="G63" s="541"/>
      <c r="H63" s="541"/>
    </row>
    <row r="64" spans="1:8" ht="14.25" customHeight="1" x14ac:dyDescent="0.25">
      <c r="A64" s="541"/>
      <c r="B64" s="541"/>
      <c r="C64" s="541"/>
      <c r="D64" s="541"/>
      <c r="E64" s="541"/>
      <c r="F64" s="541"/>
      <c r="G64" s="541"/>
      <c r="H64" s="541"/>
    </row>
    <row r="65" spans="1:8" ht="14.25" customHeight="1" x14ac:dyDescent="0.25">
      <c r="A65" s="541"/>
      <c r="B65" s="541"/>
      <c r="C65" s="541"/>
      <c r="D65" s="541"/>
      <c r="E65" s="541"/>
      <c r="F65" s="541"/>
      <c r="G65" s="541"/>
      <c r="H65" s="541"/>
    </row>
    <row r="66" spans="1:8" ht="14.25" customHeight="1" x14ac:dyDescent="0.25">
      <c r="A66" s="541"/>
      <c r="B66" s="541"/>
      <c r="C66" s="541"/>
      <c r="D66" s="541"/>
      <c r="E66" s="541"/>
      <c r="F66" s="541"/>
      <c r="G66" s="541"/>
      <c r="H66" s="541"/>
    </row>
    <row r="67" spans="1:8" ht="14.25" customHeight="1" x14ac:dyDescent="0.25">
      <c r="A67" s="541"/>
      <c r="B67" s="541"/>
      <c r="C67" s="541"/>
      <c r="D67" s="541"/>
      <c r="E67" s="541"/>
      <c r="F67" s="541"/>
      <c r="G67" s="541"/>
      <c r="H67" s="541"/>
    </row>
    <row r="68" spans="1:8" ht="14.25" customHeight="1" x14ac:dyDescent="0.25">
      <c r="A68" s="541"/>
      <c r="B68" s="541"/>
      <c r="C68" s="541"/>
      <c r="D68" s="541"/>
      <c r="E68" s="541"/>
      <c r="F68" s="541"/>
      <c r="G68" s="541"/>
      <c r="H68" s="541"/>
    </row>
    <row r="69" spans="1:8" ht="14.25" customHeight="1" x14ac:dyDescent="0.25">
      <c r="A69" s="541"/>
      <c r="B69" s="541"/>
      <c r="C69" s="541"/>
      <c r="D69" s="541"/>
      <c r="E69" s="541"/>
      <c r="F69" s="541"/>
      <c r="G69" s="541"/>
      <c r="H69" s="541"/>
    </row>
    <row r="70" spans="1:8" ht="14.25" customHeight="1" x14ac:dyDescent="0.25">
      <c r="A70" s="541"/>
      <c r="B70" s="541"/>
      <c r="C70" s="541"/>
      <c r="D70" s="541"/>
      <c r="E70" s="541"/>
      <c r="F70" s="541"/>
      <c r="G70" s="541"/>
      <c r="H70" s="541"/>
    </row>
    <row r="71" spans="1:8" ht="14.25" customHeight="1" x14ac:dyDescent="0.25">
      <c r="A71" s="541"/>
      <c r="B71" s="541"/>
      <c r="C71" s="541"/>
      <c r="D71" s="541"/>
      <c r="E71" s="541"/>
      <c r="F71" s="541"/>
      <c r="G71" s="541"/>
      <c r="H71" s="541"/>
    </row>
    <row r="72" spans="1:8" ht="14.25" customHeight="1" x14ac:dyDescent="0.25">
      <c r="A72" s="541"/>
      <c r="B72" s="541"/>
      <c r="C72" s="541"/>
      <c r="D72" s="541"/>
      <c r="E72" s="541"/>
      <c r="F72" s="541"/>
      <c r="G72" s="541"/>
      <c r="H72" s="541"/>
    </row>
    <row r="73" spans="1:8" ht="14.25" customHeight="1" x14ac:dyDescent="0.25">
      <c r="A73" s="541"/>
      <c r="B73" s="541"/>
      <c r="C73" s="541"/>
      <c r="D73" s="541"/>
      <c r="E73" s="541"/>
      <c r="F73" s="541"/>
      <c r="G73" s="541"/>
      <c r="H73" s="541"/>
    </row>
    <row r="74" spans="1:8" ht="14.25" customHeight="1" x14ac:dyDescent="0.25">
      <c r="A74" s="541"/>
      <c r="B74" s="541"/>
      <c r="C74" s="541"/>
      <c r="D74" s="541"/>
      <c r="E74" s="541"/>
      <c r="F74" s="541"/>
      <c r="G74" s="541"/>
      <c r="H74" s="541"/>
    </row>
    <row r="75" spans="1:8" ht="14.25" customHeight="1" x14ac:dyDescent="0.25">
      <c r="A75" s="541"/>
      <c r="B75" s="541"/>
      <c r="C75" s="541"/>
      <c r="D75" s="541"/>
      <c r="E75" s="541"/>
      <c r="F75" s="541"/>
      <c r="G75" s="541"/>
      <c r="H75" s="541"/>
    </row>
    <row r="76" spans="1:8" ht="14.25" customHeight="1" x14ac:dyDescent="0.25">
      <c r="A76" s="541"/>
      <c r="B76" s="541"/>
      <c r="C76" s="541"/>
      <c r="D76" s="541"/>
      <c r="E76" s="541"/>
      <c r="F76" s="541"/>
      <c r="G76" s="541"/>
      <c r="H76" s="541"/>
    </row>
    <row r="77" spans="1:8" ht="14.25" customHeight="1" x14ac:dyDescent="0.25">
      <c r="A77" s="541"/>
      <c r="B77" s="541"/>
      <c r="C77" s="541"/>
      <c r="D77" s="541"/>
      <c r="E77" s="541"/>
      <c r="F77" s="541"/>
      <c r="G77" s="541"/>
      <c r="H77" s="541"/>
    </row>
    <row r="78" spans="1:8" ht="14.25" customHeight="1" x14ac:dyDescent="0.25">
      <c r="A78" s="541"/>
      <c r="B78" s="541"/>
      <c r="C78" s="541"/>
      <c r="D78" s="541"/>
      <c r="E78" s="541"/>
      <c r="F78" s="541"/>
      <c r="G78" s="541"/>
      <c r="H78" s="541"/>
    </row>
    <row r="79" spans="1:8" ht="14.25" customHeight="1" x14ac:dyDescent="0.25">
      <c r="A79" s="541"/>
      <c r="B79" s="541"/>
      <c r="C79" s="541"/>
      <c r="D79" s="541"/>
      <c r="E79" s="541"/>
      <c r="F79" s="541"/>
      <c r="G79" s="541"/>
      <c r="H79" s="541"/>
    </row>
    <row r="80" spans="1:8" ht="14.25" customHeight="1" x14ac:dyDescent="0.25">
      <c r="A80" s="541"/>
      <c r="B80" s="541"/>
      <c r="C80" s="541"/>
      <c r="D80" s="541"/>
      <c r="E80" s="541"/>
      <c r="F80" s="541"/>
      <c r="G80" s="541"/>
      <c r="H80" s="541"/>
    </row>
    <row r="81" spans="1:8" ht="14.25" customHeight="1" x14ac:dyDescent="0.25">
      <c r="A81" s="541"/>
      <c r="B81" s="541"/>
      <c r="C81" s="541"/>
      <c r="D81" s="541"/>
      <c r="E81" s="541"/>
      <c r="F81" s="541"/>
      <c r="G81" s="541"/>
      <c r="H81" s="541"/>
    </row>
    <row r="82" spans="1:8" ht="14.25" customHeight="1" x14ac:dyDescent="0.25">
      <c r="A82" s="541"/>
      <c r="B82" s="541"/>
      <c r="C82" s="541"/>
      <c r="D82" s="541"/>
      <c r="E82" s="541"/>
      <c r="F82" s="541"/>
      <c r="G82" s="541"/>
      <c r="H82" s="541"/>
    </row>
    <row r="83" spans="1:8" ht="14.25" customHeight="1" x14ac:dyDescent="0.25">
      <c r="A83" s="541"/>
      <c r="B83" s="541"/>
      <c r="C83" s="541"/>
      <c r="D83" s="541"/>
      <c r="E83" s="541"/>
      <c r="F83" s="541"/>
      <c r="G83" s="541"/>
      <c r="H83" s="541"/>
    </row>
    <row r="84" spans="1:8" ht="14.25" customHeight="1" x14ac:dyDescent="0.25">
      <c r="A84" s="541"/>
      <c r="B84" s="541"/>
      <c r="C84" s="541"/>
      <c r="D84" s="541"/>
      <c r="E84" s="541"/>
      <c r="F84" s="541"/>
      <c r="G84" s="541"/>
      <c r="H84" s="541"/>
    </row>
    <row r="85" spans="1:8" ht="14.25" customHeight="1" x14ac:dyDescent="0.25">
      <c r="A85" s="541"/>
      <c r="B85" s="541"/>
      <c r="C85" s="541"/>
      <c r="D85" s="541"/>
      <c r="E85" s="541"/>
      <c r="F85" s="541"/>
      <c r="G85" s="541"/>
      <c r="H85" s="541"/>
    </row>
    <row r="86" spans="1:8" ht="14.25" customHeight="1" x14ac:dyDescent="0.25">
      <c r="A86" s="541"/>
      <c r="B86" s="541"/>
      <c r="C86" s="541"/>
      <c r="D86" s="541"/>
      <c r="E86" s="541"/>
      <c r="F86" s="541"/>
      <c r="G86" s="541"/>
      <c r="H86" s="541"/>
    </row>
    <row r="87" spans="1:8" ht="14.25" customHeight="1" x14ac:dyDescent="0.25">
      <c r="A87" s="541"/>
      <c r="B87" s="541"/>
      <c r="C87" s="541"/>
      <c r="D87" s="541"/>
      <c r="E87" s="541"/>
      <c r="F87" s="541"/>
      <c r="G87" s="541"/>
      <c r="H87" s="541"/>
    </row>
    <row r="88" spans="1:8" ht="14.25" customHeight="1" x14ac:dyDescent="0.25">
      <c r="A88" s="541"/>
      <c r="B88" s="541"/>
      <c r="C88" s="541"/>
      <c r="D88" s="541"/>
      <c r="E88" s="541"/>
      <c r="F88" s="541"/>
      <c r="G88" s="541"/>
      <c r="H88" s="541"/>
    </row>
    <row r="89" spans="1:8" ht="14.25" customHeight="1" x14ac:dyDescent="0.25">
      <c r="A89" s="541"/>
      <c r="B89" s="541"/>
      <c r="C89" s="541"/>
      <c r="D89" s="541"/>
      <c r="E89" s="541"/>
      <c r="F89" s="541"/>
      <c r="G89" s="541"/>
      <c r="H89" s="541"/>
    </row>
    <row r="90" spans="1:8" ht="14.25" customHeight="1" x14ac:dyDescent="0.25">
      <c r="A90" s="541"/>
      <c r="B90" s="541"/>
      <c r="C90" s="541"/>
      <c r="D90" s="541"/>
      <c r="E90" s="541"/>
      <c r="F90" s="541"/>
      <c r="G90" s="541"/>
      <c r="H90" s="541"/>
    </row>
    <row r="91" spans="1:8" ht="14.25" customHeight="1" x14ac:dyDescent="0.25">
      <c r="A91" s="541"/>
      <c r="B91" s="541"/>
      <c r="C91" s="541"/>
      <c r="D91" s="541"/>
      <c r="E91" s="541"/>
      <c r="F91" s="541"/>
      <c r="G91" s="541"/>
      <c r="H91" s="541"/>
    </row>
    <row r="92" spans="1:8" ht="14.25" customHeight="1" x14ac:dyDescent="0.25">
      <c r="A92" s="541"/>
      <c r="B92" s="541"/>
      <c r="C92" s="541"/>
      <c r="D92" s="541"/>
      <c r="E92" s="541"/>
      <c r="F92" s="541"/>
      <c r="G92" s="541"/>
      <c r="H92" s="541"/>
    </row>
    <row r="93" spans="1:8" ht="14.25" customHeight="1" x14ac:dyDescent="0.25">
      <c r="A93" s="541"/>
      <c r="B93" s="541"/>
      <c r="C93" s="541"/>
      <c r="D93" s="541"/>
      <c r="E93" s="541"/>
      <c r="F93" s="541"/>
      <c r="G93" s="541"/>
      <c r="H93" s="541"/>
    </row>
    <row r="94" spans="1:8" ht="14.25" customHeight="1" x14ac:dyDescent="0.25">
      <c r="A94" s="541"/>
      <c r="B94" s="541"/>
      <c r="C94" s="541"/>
      <c r="D94" s="541"/>
      <c r="E94" s="541"/>
      <c r="F94" s="541"/>
      <c r="G94" s="541"/>
      <c r="H94" s="541"/>
    </row>
    <row r="95" spans="1:8" ht="14.25" customHeight="1" x14ac:dyDescent="0.25">
      <c r="A95" s="541"/>
      <c r="B95" s="541"/>
      <c r="C95" s="541"/>
      <c r="D95" s="541"/>
      <c r="E95" s="541"/>
      <c r="F95" s="541"/>
      <c r="G95" s="541"/>
      <c r="H95" s="541"/>
    </row>
    <row r="96" spans="1:8" ht="14.25" customHeight="1" x14ac:dyDescent="0.25">
      <c r="A96" s="541"/>
      <c r="B96" s="541"/>
      <c r="C96" s="541"/>
      <c r="D96" s="541"/>
      <c r="E96" s="541"/>
      <c r="F96" s="541"/>
      <c r="G96" s="541"/>
      <c r="H96" s="541"/>
    </row>
    <row r="97" spans="1:8" ht="14.25" customHeight="1" x14ac:dyDescent="0.25">
      <c r="A97" s="541"/>
      <c r="B97" s="541"/>
      <c r="C97" s="541"/>
      <c r="D97" s="541"/>
      <c r="E97" s="541"/>
      <c r="F97" s="541"/>
      <c r="G97" s="541"/>
      <c r="H97" s="541"/>
    </row>
    <row r="98" spans="1:8" ht="14.25" customHeight="1" x14ac:dyDescent="0.25">
      <c r="A98" s="541"/>
      <c r="B98" s="541"/>
      <c r="C98" s="541"/>
      <c r="D98" s="541"/>
      <c r="E98" s="541"/>
      <c r="F98" s="541"/>
      <c r="G98" s="541"/>
      <c r="H98" s="541"/>
    </row>
    <row r="99" spans="1:8" ht="14.25" customHeight="1" x14ac:dyDescent="0.25">
      <c r="A99" s="541"/>
      <c r="B99" s="541"/>
      <c r="C99" s="541"/>
      <c r="D99" s="541"/>
      <c r="E99" s="541"/>
      <c r="F99" s="541"/>
      <c r="G99" s="541"/>
      <c r="H99" s="541"/>
    </row>
    <row r="100" spans="1:8" ht="14.25" customHeight="1" x14ac:dyDescent="0.25">
      <c r="A100" s="541"/>
      <c r="B100" s="541"/>
      <c r="C100" s="541"/>
      <c r="D100" s="541"/>
      <c r="E100" s="541"/>
      <c r="F100" s="541"/>
      <c r="G100" s="541"/>
      <c r="H100" s="541"/>
    </row>
    <row r="101" spans="1:8" ht="14.25" customHeight="1" x14ac:dyDescent="0.25">
      <c r="A101" s="541"/>
      <c r="B101" s="541"/>
      <c r="C101" s="541"/>
      <c r="D101" s="541"/>
      <c r="E101" s="541"/>
      <c r="F101" s="541"/>
      <c r="G101" s="541"/>
      <c r="H101" s="541"/>
    </row>
    <row r="102" spans="1:8" ht="14.25" customHeight="1" x14ac:dyDescent="0.25">
      <c r="A102" s="541"/>
      <c r="B102" s="541"/>
      <c r="C102" s="541"/>
      <c r="D102" s="541"/>
      <c r="E102" s="541"/>
      <c r="F102" s="541"/>
      <c r="G102" s="541"/>
      <c r="H102" s="541"/>
    </row>
    <row r="103" spans="1:8" ht="14.25" customHeight="1" x14ac:dyDescent="0.25">
      <c r="A103" s="541"/>
      <c r="B103" s="541"/>
      <c r="C103" s="541"/>
      <c r="D103" s="541"/>
      <c r="E103" s="541"/>
      <c r="F103" s="541"/>
      <c r="G103" s="541"/>
      <c r="H103" s="541"/>
    </row>
    <row r="104" spans="1:8" ht="14.25" customHeight="1" x14ac:dyDescent="0.25">
      <c r="A104" s="541"/>
      <c r="B104" s="541"/>
      <c r="C104" s="541"/>
      <c r="D104" s="541"/>
      <c r="E104" s="541"/>
      <c r="F104" s="541"/>
      <c r="G104" s="541"/>
      <c r="H104" s="541"/>
    </row>
    <row r="105" spans="1:8" ht="14.25" customHeight="1" x14ac:dyDescent="0.25">
      <c r="A105" s="541"/>
      <c r="B105" s="541"/>
      <c r="C105" s="541"/>
      <c r="D105" s="541"/>
      <c r="E105" s="541"/>
      <c r="F105" s="541"/>
      <c r="G105" s="541"/>
      <c r="H105" s="541"/>
    </row>
    <row r="106" spans="1:8" ht="14.25" customHeight="1" x14ac:dyDescent="0.25">
      <c r="A106" s="541"/>
      <c r="B106" s="541"/>
      <c r="C106" s="541"/>
      <c r="D106" s="541"/>
      <c r="E106" s="541"/>
      <c r="F106" s="541"/>
      <c r="G106" s="541"/>
      <c r="H106" s="541"/>
    </row>
    <row r="107" spans="1:8" ht="14.25" customHeight="1" x14ac:dyDescent="0.25">
      <c r="A107" s="541"/>
      <c r="B107" s="541"/>
      <c r="C107" s="541"/>
      <c r="D107" s="541"/>
      <c r="E107" s="541"/>
      <c r="F107" s="541"/>
      <c r="G107" s="541"/>
      <c r="H107" s="541"/>
    </row>
    <row r="108" spans="1:8" ht="14.25" customHeight="1" x14ac:dyDescent="0.25">
      <c r="A108" s="541"/>
      <c r="B108" s="541"/>
      <c r="C108" s="541"/>
      <c r="D108" s="541"/>
      <c r="E108" s="541"/>
      <c r="F108" s="541"/>
      <c r="G108" s="541"/>
      <c r="H108" s="541"/>
    </row>
    <row r="109" spans="1:8" ht="14.25" customHeight="1" x14ac:dyDescent="0.25">
      <c r="A109" s="541"/>
      <c r="B109" s="541"/>
      <c r="C109" s="541"/>
      <c r="D109" s="541"/>
      <c r="E109" s="541"/>
      <c r="F109" s="541"/>
      <c r="G109" s="541"/>
      <c r="H109" s="541"/>
    </row>
    <row r="110" spans="1:8" ht="14.25" customHeight="1" x14ac:dyDescent="0.25">
      <c r="A110" s="541"/>
      <c r="B110" s="541"/>
      <c r="C110" s="541"/>
      <c r="D110" s="541"/>
      <c r="E110" s="541"/>
      <c r="F110" s="541"/>
      <c r="G110" s="541"/>
      <c r="H110" s="541"/>
    </row>
    <row r="111" spans="1:8" ht="14.25" customHeight="1" x14ac:dyDescent="0.25">
      <c r="A111" s="541"/>
      <c r="B111" s="541"/>
      <c r="C111" s="541"/>
      <c r="D111" s="541"/>
      <c r="E111" s="541"/>
      <c r="F111" s="541"/>
      <c r="G111" s="541"/>
      <c r="H111" s="541"/>
    </row>
    <row r="112" spans="1:8" ht="14.25" customHeight="1" x14ac:dyDescent="0.25">
      <c r="A112" s="541"/>
      <c r="B112" s="541"/>
      <c r="C112" s="541"/>
      <c r="D112" s="541"/>
      <c r="E112" s="541"/>
      <c r="F112" s="541"/>
      <c r="G112" s="541"/>
      <c r="H112" s="541"/>
    </row>
    <row r="113" spans="1:8" ht="14.25" customHeight="1" x14ac:dyDescent="0.25">
      <c r="A113" s="541"/>
      <c r="B113" s="541"/>
      <c r="C113" s="541"/>
      <c r="D113" s="541"/>
      <c r="E113" s="541"/>
      <c r="F113" s="541"/>
      <c r="G113" s="541"/>
      <c r="H113" s="541"/>
    </row>
    <row r="114" spans="1:8" ht="14.25" customHeight="1" x14ac:dyDescent="0.25">
      <c r="A114" s="541"/>
      <c r="B114" s="541"/>
      <c r="C114" s="541"/>
      <c r="D114" s="541"/>
      <c r="E114" s="541"/>
      <c r="F114" s="541"/>
      <c r="G114" s="541"/>
      <c r="H114" s="541"/>
    </row>
    <row r="115" spans="1:8" ht="14.25" customHeight="1" x14ac:dyDescent="0.25">
      <c r="A115" s="541"/>
      <c r="B115" s="541"/>
      <c r="C115" s="541"/>
      <c r="D115" s="541"/>
      <c r="E115" s="541"/>
      <c r="F115" s="541"/>
      <c r="G115" s="541"/>
      <c r="H115" s="541"/>
    </row>
    <row r="116" spans="1:8" ht="14.25" customHeight="1" x14ac:dyDescent="0.25">
      <c r="A116" s="541"/>
      <c r="B116" s="541"/>
      <c r="C116" s="541"/>
      <c r="D116" s="541"/>
      <c r="E116" s="541"/>
      <c r="F116" s="541"/>
      <c r="G116" s="541"/>
      <c r="H116" s="541"/>
    </row>
    <row r="117" spans="1:8" ht="14.25" customHeight="1" x14ac:dyDescent="0.25">
      <c r="A117" s="541"/>
      <c r="B117" s="541"/>
      <c r="C117" s="541"/>
      <c r="D117" s="541"/>
      <c r="E117" s="541"/>
      <c r="F117" s="541"/>
      <c r="G117" s="541"/>
      <c r="H117" s="541"/>
    </row>
    <row r="118" spans="1:8" ht="14.25" customHeight="1" x14ac:dyDescent="0.25">
      <c r="A118" s="541"/>
      <c r="B118" s="541"/>
      <c r="C118" s="541"/>
      <c r="D118" s="541"/>
      <c r="E118" s="541"/>
      <c r="F118" s="541"/>
      <c r="G118" s="541"/>
      <c r="H118" s="541"/>
    </row>
    <row r="119" spans="1:8" ht="14.25" customHeight="1" x14ac:dyDescent="0.25">
      <c r="A119" s="541"/>
      <c r="B119" s="541"/>
      <c r="C119" s="541"/>
      <c r="D119" s="541"/>
      <c r="E119" s="541"/>
      <c r="F119" s="541"/>
      <c r="G119" s="541"/>
      <c r="H119" s="541"/>
    </row>
    <row r="120" spans="1:8" ht="14.25" customHeight="1" x14ac:dyDescent="0.25">
      <c r="A120" s="541"/>
      <c r="B120" s="541"/>
      <c r="C120" s="541"/>
      <c r="D120" s="541"/>
      <c r="E120" s="541"/>
      <c r="F120" s="541"/>
      <c r="G120" s="541"/>
      <c r="H120" s="541"/>
    </row>
    <row r="121" spans="1:8" ht="14.25" customHeight="1" x14ac:dyDescent="0.25">
      <c r="A121" s="541"/>
      <c r="B121" s="541"/>
      <c r="C121" s="541"/>
      <c r="D121" s="541"/>
      <c r="E121" s="541"/>
      <c r="F121" s="541"/>
      <c r="G121" s="541"/>
      <c r="H121" s="541"/>
    </row>
    <row r="122" spans="1:8" ht="14.25" customHeight="1" x14ac:dyDescent="0.25">
      <c r="A122" s="541"/>
      <c r="B122" s="541"/>
      <c r="C122" s="541"/>
      <c r="D122" s="541"/>
      <c r="E122" s="541"/>
      <c r="F122" s="541"/>
      <c r="G122" s="541"/>
      <c r="H122" s="541"/>
    </row>
    <row r="123" spans="1:8" ht="14.25" customHeight="1" x14ac:dyDescent="0.25">
      <c r="A123" s="541"/>
      <c r="B123" s="541"/>
      <c r="C123" s="541"/>
      <c r="D123" s="541"/>
      <c r="E123" s="541"/>
      <c r="F123" s="541"/>
      <c r="G123" s="541"/>
      <c r="H123" s="541"/>
    </row>
    <row r="124" spans="1:8" ht="14.25" customHeight="1" x14ac:dyDescent="0.25">
      <c r="A124" s="541"/>
      <c r="B124" s="541"/>
      <c r="C124" s="541"/>
      <c r="D124" s="541"/>
      <c r="E124" s="541"/>
      <c r="F124" s="541"/>
      <c r="G124" s="541"/>
      <c r="H124" s="541"/>
    </row>
    <row r="125" spans="1:8" ht="14.25" customHeight="1" x14ac:dyDescent="0.25">
      <c r="A125" s="541"/>
      <c r="B125" s="541"/>
      <c r="C125" s="541"/>
      <c r="D125" s="541"/>
      <c r="E125" s="541"/>
      <c r="F125" s="541"/>
      <c r="G125" s="541"/>
      <c r="H125" s="541"/>
    </row>
    <row r="126" spans="1:8" ht="14.25" customHeight="1" x14ac:dyDescent="0.25">
      <c r="A126" s="541"/>
      <c r="B126" s="541"/>
      <c r="C126" s="541"/>
      <c r="D126" s="541"/>
      <c r="E126" s="541"/>
      <c r="F126" s="541"/>
      <c r="G126" s="541"/>
      <c r="H126" s="541"/>
    </row>
    <row r="127" spans="1:8" ht="14.25" customHeight="1" x14ac:dyDescent="0.25">
      <c r="A127" s="541"/>
      <c r="B127" s="541"/>
      <c r="C127" s="541"/>
      <c r="D127" s="541"/>
      <c r="E127" s="541"/>
      <c r="F127" s="541"/>
      <c r="G127" s="541"/>
      <c r="H127" s="541"/>
    </row>
    <row r="128" spans="1:8" ht="14.25" customHeight="1" x14ac:dyDescent="0.25">
      <c r="A128" s="541"/>
      <c r="B128" s="541"/>
      <c r="C128" s="541"/>
      <c r="D128" s="541"/>
      <c r="E128" s="541"/>
      <c r="F128" s="541"/>
      <c r="G128" s="541"/>
      <c r="H128" s="541"/>
    </row>
    <row r="129" spans="1:8" ht="14.25" customHeight="1" x14ac:dyDescent="0.25">
      <c r="A129" s="541"/>
      <c r="B129" s="541"/>
      <c r="C129" s="541"/>
      <c r="D129" s="541"/>
      <c r="E129" s="541"/>
      <c r="F129" s="541"/>
      <c r="G129" s="541"/>
      <c r="H129" s="541"/>
    </row>
    <row r="130" spans="1:8" ht="14.25" customHeight="1" x14ac:dyDescent="0.25">
      <c r="A130" s="541"/>
      <c r="B130" s="541"/>
      <c r="C130" s="541"/>
      <c r="D130" s="541"/>
      <c r="E130" s="541"/>
      <c r="F130" s="541"/>
      <c r="G130" s="541"/>
      <c r="H130" s="541"/>
    </row>
    <row r="131" spans="1:8" ht="14.25" customHeight="1" x14ac:dyDescent="0.25">
      <c r="A131" s="541"/>
      <c r="B131" s="541"/>
      <c r="C131" s="541"/>
      <c r="D131" s="541"/>
      <c r="E131" s="541"/>
      <c r="F131" s="541"/>
      <c r="G131" s="541"/>
      <c r="H131" s="541"/>
    </row>
    <row r="132" spans="1:8" ht="14.25" customHeight="1" x14ac:dyDescent="0.25">
      <c r="A132" s="541"/>
      <c r="B132" s="541"/>
      <c r="C132" s="541"/>
      <c r="D132" s="541"/>
      <c r="E132" s="541"/>
      <c r="F132" s="541"/>
      <c r="G132" s="541"/>
      <c r="H132" s="541"/>
    </row>
    <row r="133" spans="1:8" ht="14.25" customHeight="1" x14ac:dyDescent="0.25">
      <c r="A133" s="541"/>
      <c r="B133" s="541"/>
      <c r="C133" s="541"/>
      <c r="D133" s="541"/>
      <c r="E133" s="541"/>
      <c r="F133" s="541"/>
      <c r="G133" s="541"/>
      <c r="H133" s="541"/>
    </row>
    <row r="134" spans="1:8" ht="14.25" customHeight="1" x14ac:dyDescent="0.25">
      <c r="A134" s="541"/>
      <c r="B134" s="541"/>
      <c r="C134" s="541"/>
      <c r="D134" s="541"/>
      <c r="E134" s="541"/>
      <c r="F134" s="541"/>
      <c r="G134" s="541"/>
      <c r="H134" s="541"/>
    </row>
    <row r="135" spans="1:8" ht="14.25" customHeight="1" x14ac:dyDescent="0.25">
      <c r="A135" s="541"/>
      <c r="B135" s="541"/>
      <c r="C135" s="541"/>
      <c r="D135" s="541"/>
      <c r="E135" s="541"/>
      <c r="F135" s="541"/>
      <c r="G135" s="541"/>
      <c r="H135" s="541"/>
    </row>
    <row r="136" spans="1:8" ht="14.25" customHeight="1" x14ac:dyDescent="0.25">
      <c r="A136" s="541"/>
      <c r="B136" s="541"/>
      <c r="C136" s="541"/>
      <c r="D136" s="541"/>
      <c r="E136" s="541"/>
      <c r="F136" s="541"/>
      <c r="G136" s="541"/>
      <c r="H136" s="541"/>
    </row>
    <row r="137" spans="1:8" ht="14.25" customHeight="1" x14ac:dyDescent="0.25">
      <c r="A137" s="541"/>
      <c r="B137" s="541"/>
      <c r="C137" s="541"/>
      <c r="D137" s="541"/>
      <c r="E137" s="541"/>
      <c r="F137" s="541"/>
      <c r="G137" s="541"/>
      <c r="H137" s="541"/>
    </row>
    <row r="138" spans="1:8" ht="14.25" customHeight="1" x14ac:dyDescent="0.25">
      <c r="A138" s="541"/>
      <c r="B138" s="541"/>
      <c r="C138" s="541"/>
      <c r="D138" s="541"/>
      <c r="E138" s="541"/>
      <c r="F138" s="541"/>
      <c r="G138" s="541"/>
      <c r="H138" s="541"/>
    </row>
    <row r="139" spans="1:8" ht="14.25" customHeight="1" x14ac:dyDescent="0.25">
      <c r="A139" s="541"/>
      <c r="B139" s="541"/>
      <c r="C139" s="541"/>
      <c r="D139" s="541"/>
      <c r="E139" s="541"/>
      <c r="F139" s="541"/>
      <c r="G139" s="541"/>
      <c r="H139" s="541"/>
    </row>
    <row r="140" spans="1:8" ht="14.25" customHeight="1" x14ac:dyDescent="0.25">
      <c r="A140" s="541"/>
      <c r="B140" s="541"/>
      <c r="C140" s="541"/>
      <c r="D140" s="541"/>
      <c r="E140" s="541"/>
      <c r="F140" s="541"/>
      <c r="G140" s="541"/>
      <c r="H140" s="541"/>
    </row>
    <row r="141" spans="1:8" ht="14.25" customHeight="1" x14ac:dyDescent="0.25">
      <c r="A141" s="541"/>
      <c r="B141" s="541"/>
      <c r="C141" s="541"/>
      <c r="D141" s="541"/>
      <c r="E141" s="541"/>
      <c r="F141" s="541"/>
      <c r="G141" s="541"/>
      <c r="H141" s="541"/>
    </row>
    <row r="142" spans="1:8" ht="14.25" customHeight="1" x14ac:dyDescent="0.25">
      <c r="A142" s="541"/>
      <c r="B142" s="541"/>
      <c r="C142" s="541"/>
      <c r="D142" s="541"/>
      <c r="E142" s="541"/>
      <c r="F142" s="541"/>
      <c r="G142" s="541"/>
      <c r="H142" s="541"/>
    </row>
    <row r="143" spans="1:8" ht="14.25" customHeight="1" x14ac:dyDescent="0.25">
      <c r="A143" s="541"/>
      <c r="B143" s="541"/>
      <c r="C143" s="541"/>
      <c r="D143" s="541"/>
      <c r="E143" s="541"/>
      <c r="F143" s="541"/>
      <c r="G143" s="541"/>
      <c r="H143" s="541"/>
    </row>
    <row r="144" spans="1:8" ht="14.25" customHeight="1" x14ac:dyDescent="0.25">
      <c r="A144" s="541"/>
      <c r="B144" s="541"/>
      <c r="C144" s="541"/>
      <c r="D144" s="541"/>
      <c r="E144" s="541"/>
      <c r="F144" s="541"/>
      <c r="G144" s="541"/>
      <c r="H144" s="541"/>
    </row>
    <row r="145" spans="1:8" ht="14.25" customHeight="1" x14ac:dyDescent="0.25">
      <c r="A145" s="541"/>
      <c r="B145" s="541"/>
      <c r="C145" s="541"/>
      <c r="D145" s="541"/>
      <c r="E145" s="541"/>
      <c r="F145" s="541"/>
      <c r="G145" s="541"/>
      <c r="H145" s="541"/>
    </row>
    <row r="146" spans="1:8" ht="14.25" customHeight="1" x14ac:dyDescent="0.25">
      <c r="A146" s="541"/>
      <c r="B146" s="541"/>
      <c r="C146" s="541"/>
      <c r="D146" s="541"/>
      <c r="E146" s="541"/>
      <c r="F146" s="541"/>
      <c r="G146" s="541"/>
      <c r="H146" s="541"/>
    </row>
    <row r="147" spans="1:8" ht="14.25" customHeight="1" x14ac:dyDescent="0.25">
      <c r="A147" s="541"/>
      <c r="B147" s="541"/>
      <c r="C147" s="541"/>
      <c r="D147" s="541"/>
      <c r="E147" s="541"/>
      <c r="F147" s="541"/>
      <c r="G147" s="541"/>
      <c r="H147" s="541"/>
    </row>
    <row r="148" spans="1:8" ht="14.25" customHeight="1" x14ac:dyDescent="0.25">
      <c r="A148" s="541"/>
      <c r="B148" s="541"/>
      <c r="C148" s="541"/>
      <c r="D148" s="541"/>
      <c r="E148" s="541"/>
      <c r="F148" s="541"/>
      <c r="G148" s="541"/>
      <c r="H148" s="541"/>
    </row>
    <row r="149" spans="1:8" ht="14.25" customHeight="1" x14ac:dyDescent="0.25">
      <c r="A149" s="541"/>
      <c r="B149" s="541"/>
      <c r="C149" s="541"/>
      <c r="D149" s="541"/>
      <c r="E149" s="541"/>
      <c r="F149" s="541"/>
      <c r="G149" s="541"/>
      <c r="H149" s="541"/>
    </row>
    <row r="150" spans="1:8" ht="14.25" customHeight="1" x14ac:dyDescent="0.25">
      <c r="A150" s="541"/>
      <c r="B150" s="541"/>
      <c r="C150" s="541"/>
      <c r="D150" s="541"/>
      <c r="E150" s="541"/>
      <c r="F150" s="541"/>
      <c r="G150" s="541"/>
      <c r="H150" s="541"/>
    </row>
    <row r="151" spans="1:8" ht="14.25" customHeight="1" x14ac:dyDescent="0.25">
      <c r="A151" s="541"/>
      <c r="B151" s="541"/>
      <c r="C151" s="541"/>
      <c r="D151" s="541"/>
      <c r="E151" s="541"/>
      <c r="F151" s="541"/>
      <c r="G151" s="541"/>
      <c r="H151" s="541"/>
    </row>
    <row r="152" spans="1:8" ht="14.25" customHeight="1" x14ac:dyDescent="0.25">
      <c r="A152" s="541"/>
      <c r="B152" s="541"/>
      <c r="C152" s="541"/>
      <c r="D152" s="541"/>
      <c r="E152" s="541"/>
      <c r="F152" s="541"/>
      <c r="G152" s="541"/>
      <c r="H152" s="541"/>
    </row>
    <row r="153" spans="1:8" ht="14.25" customHeight="1" x14ac:dyDescent="0.25">
      <c r="A153" s="541"/>
      <c r="B153" s="541"/>
      <c r="C153" s="541"/>
      <c r="D153" s="541"/>
      <c r="E153" s="541"/>
      <c r="F153" s="541"/>
      <c r="G153" s="541"/>
      <c r="H153" s="541"/>
    </row>
    <row r="154" spans="1:8" ht="14.25" customHeight="1" x14ac:dyDescent="0.25">
      <c r="A154" s="541"/>
      <c r="B154" s="541"/>
      <c r="C154" s="541"/>
      <c r="D154" s="541"/>
      <c r="E154" s="541"/>
      <c r="F154" s="541"/>
      <c r="G154" s="541"/>
      <c r="H154" s="541"/>
    </row>
    <row r="155" spans="1:8" ht="14.25" customHeight="1" x14ac:dyDescent="0.25">
      <c r="A155" s="541"/>
      <c r="B155" s="541"/>
      <c r="C155" s="541"/>
      <c r="D155" s="541"/>
      <c r="E155" s="541"/>
      <c r="F155" s="541"/>
      <c r="G155" s="541"/>
      <c r="H155" s="541"/>
    </row>
    <row r="156" spans="1:8" ht="14.25" customHeight="1" x14ac:dyDescent="0.25">
      <c r="A156" s="541"/>
      <c r="B156" s="541"/>
      <c r="C156" s="541"/>
      <c r="D156" s="541"/>
      <c r="E156" s="541"/>
      <c r="F156" s="541"/>
      <c r="G156" s="541"/>
      <c r="H156" s="541"/>
    </row>
    <row r="157" spans="1:8" ht="14.25" customHeight="1" x14ac:dyDescent="0.25">
      <c r="A157" s="541"/>
      <c r="B157" s="541"/>
      <c r="C157" s="541"/>
      <c r="D157" s="541"/>
      <c r="E157" s="541"/>
      <c r="F157" s="541"/>
      <c r="G157" s="541"/>
      <c r="H157" s="541"/>
    </row>
    <row r="158" spans="1:8" ht="14.25" customHeight="1" x14ac:dyDescent="0.25">
      <c r="A158" s="541"/>
      <c r="B158" s="541"/>
      <c r="C158" s="541"/>
      <c r="D158" s="541"/>
      <c r="E158" s="541"/>
      <c r="F158" s="541"/>
      <c r="G158" s="541"/>
      <c r="H158" s="541"/>
    </row>
    <row r="159" spans="1:8" ht="14.25" customHeight="1" x14ac:dyDescent="0.25">
      <c r="A159" s="541"/>
      <c r="B159" s="541"/>
      <c r="C159" s="541"/>
      <c r="D159" s="541"/>
      <c r="E159" s="541"/>
      <c r="F159" s="541"/>
      <c r="G159" s="541"/>
      <c r="H159" s="541"/>
    </row>
    <row r="160" spans="1:8" ht="14.25" customHeight="1" x14ac:dyDescent="0.25">
      <c r="A160" s="541"/>
      <c r="B160" s="541"/>
      <c r="C160" s="541"/>
      <c r="D160" s="541"/>
      <c r="E160" s="541"/>
      <c r="F160" s="541"/>
      <c r="G160" s="541"/>
      <c r="H160" s="541"/>
    </row>
    <row r="161" spans="1:8" ht="14.25" customHeight="1" x14ac:dyDescent="0.25">
      <c r="A161" s="541"/>
      <c r="B161" s="541"/>
      <c r="C161" s="541"/>
      <c r="D161" s="541"/>
      <c r="E161" s="541"/>
      <c r="F161" s="541"/>
      <c r="G161" s="541"/>
      <c r="H161" s="541"/>
    </row>
    <row r="162" spans="1:8" ht="14.25" customHeight="1" x14ac:dyDescent="0.25">
      <c r="A162" s="541"/>
      <c r="B162" s="541"/>
      <c r="C162" s="541"/>
      <c r="D162" s="541"/>
      <c r="E162" s="541"/>
      <c r="F162" s="541"/>
      <c r="G162" s="541"/>
      <c r="H162" s="541"/>
    </row>
    <row r="163" spans="1:8" ht="14.25" customHeight="1" x14ac:dyDescent="0.25">
      <c r="A163" s="541"/>
      <c r="B163" s="541"/>
      <c r="C163" s="541"/>
      <c r="D163" s="541"/>
      <c r="E163" s="541"/>
      <c r="F163" s="541"/>
      <c r="G163" s="541"/>
      <c r="H163" s="541"/>
    </row>
    <row r="164" spans="1:8" ht="14.25" customHeight="1" x14ac:dyDescent="0.25">
      <c r="A164" s="541"/>
      <c r="B164" s="541"/>
      <c r="C164" s="541"/>
      <c r="D164" s="541"/>
      <c r="E164" s="541"/>
      <c r="F164" s="541"/>
      <c r="G164" s="541"/>
      <c r="H164" s="541"/>
    </row>
    <row r="165" spans="1:8" ht="14.25" customHeight="1" x14ac:dyDescent="0.25">
      <c r="A165" s="541"/>
      <c r="B165" s="541"/>
      <c r="C165" s="541"/>
      <c r="D165" s="541"/>
      <c r="E165" s="541"/>
      <c r="F165" s="541"/>
      <c r="G165" s="541"/>
      <c r="H165" s="541"/>
    </row>
    <row r="166" spans="1:8" ht="14.25" customHeight="1" x14ac:dyDescent="0.25">
      <c r="A166" s="541"/>
      <c r="B166" s="541"/>
      <c r="C166" s="541"/>
      <c r="D166" s="541"/>
      <c r="E166" s="541"/>
      <c r="F166" s="541"/>
      <c r="G166" s="541"/>
      <c r="H166" s="541"/>
    </row>
    <row r="167" spans="1:8" ht="14.25" customHeight="1" x14ac:dyDescent="0.25">
      <c r="A167" s="541"/>
      <c r="B167" s="541"/>
      <c r="C167" s="541"/>
      <c r="D167" s="541"/>
      <c r="E167" s="541"/>
      <c r="F167" s="541"/>
      <c r="G167" s="541"/>
      <c r="H167" s="541"/>
    </row>
    <row r="168" spans="1:8" ht="14.25" customHeight="1" x14ac:dyDescent="0.25">
      <c r="A168" s="541"/>
      <c r="B168" s="541"/>
      <c r="C168" s="541"/>
      <c r="D168" s="541"/>
      <c r="E168" s="541"/>
      <c r="F168" s="541"/>
      <c r="G168" s="541"/>
      <c r="H168" s="541"/>
    </row>
    <row r="169" spans="1:8" ht="14.25" customHeight="1" x14ac:dyDescent="0.25">
      <c r="A169" s="541"/>
      <c r="B169" s="541"/>
      <c r="C169" s="541"/>
      <c r="D169" s="541"/>
      <c r="E169" s="541"/>
      <c r="F169" s="541"/>
      <c r="G169" s="541"/>
      <c r="H169" s="541"/>
    </row>
    <row r="170" spans="1:8" ht="14.25" customHeight="1" x14ac:dyDescent="0.25">
      <c r="A170" s="541"/>
      <c r="B170" s="541"/>
      <c r="C170" s="541"/>
      <c r="D170" s="541"/>
      <c r="E170" s="541"/>
      <c r="F170" s="541"/>
      <c r="G170" s="541"/>
      <c r="H170" s="541"/>
    </row>
    <row r="171" spans="1:8" ht="14.25" customHeight="1" x14ac:dyDescent="0.25">
      <c r="A171" s="541"/>
      <c r="B171" s="541"/>
      <c r="C171" s="541"/>
      <c r="D171" s="541"/>
      <c r="E171" s="541"/>
      <c r="F171" s="541"/>
      <c r="G171" s="541"/>
      <c r="H171" s="541"/>
    </row>
    <row r="172" spans="1:8" ht="14.25" customHeight="1" x14ac:dyDescent="0.25">
      <c r="A172" s="541"/>
      <c r="B172" s="541"/>
      <c r="C172" s="541"/>
      <c r="D172" s="541"/>
      <c r="E172" s="541"/>
      <c r="F172" s="541"/>
      <c r="G172" s="541"/>
      <c r="H172" s="541"/>
    </row>
    <row r="173" spans="1:8" ht="14.25" customHeight="1" x14ac:dyDescent="0.25">
      <c r="A173" s="541"/>
      <c r="B173" s="541"/>
      <c r="C173" s="541"/>
      <c r="D173" s="541"/>
      <c r="E173" s="541"/>
      <c r="F173" s="541"/>
      <c r="G173" s="541"/>
      <c r="H173" s="541"/>
    </row>
    <row r="174" spans="1:8" ht="14.25" customHeight="1" x14ac:dyDescent="0.25">
      <c r="A174" s="541"/>
      <c r="B174" s="541"/>
      <c r="C174" s="541"/>
      <c r="D174" s="541"/>
      <c r="E174" s="541"/>
      <c r="F174" s="541"/>
      <c r="G174" s="541"/>
      <c r="H174" s="541"/>
    </row>
    <row r="175" spans="1:8" ht="14.25" customHeight="1" x14ac:dyDescent="0.25">
      <c r="A175" s="541"/>
      <c r="B175" s="541"/>
      <c r="C175" s="541"/>
      <c r="D175" s="541"/>
      <c r="E175" s="541"/>
      <c r="F175" s="541"/>
      <c r="G175" s="541"/>
      <c r="H175" s="541"/>
    </row>
    <row r="176" spans="1:8" ht="14.25" customHeight="1" x14ac:dyDescent="0.25">
      <c r="A176" s="541"/>
      <c r="B176" s="541"/>
      <c r="C176" s="541"/>
      <c r="D176" s="541"/>
      <c r="E176" s="541"/>
      <c r="F176" s="541"/>
      <c r="G176" s="541"/>
      <c r="H176" s="541"/>
    </row>
    <row r="177" spans="1:8" ht="14.25" customHeight="1" x14ac:dyDescent="0.25">
      <c r="A177" s="541"/>
      <c r="B177" s="541"/>
      <c r="C177" s="541"/>
      <c r="D177" s="541"/>
      <c r="E177" s="541"/>
      <c r="F177" s="541"/>
      <c r="G177" s="541"/>
      <c r="H177" s="541"/>
    </row>
    <row r="178" spans="1:8" ht="14.25" customHeight="1" x14ac:dyDescent="0.25">
      <c r="A178" s="541"/>
      <c r="B178" s="541"/>
      <c r="C178" s="541"/>
      <c r="D178" s="541"/>
      <c r="E178" s="541"/>
      <c r="F178" s="541"/>
      <c r="G178" s="541"/>
      <c r="H178" s="541"/>
    </row>
    <row r="179" spans="1:8" ht="14.25" customHeight="1" x14ac:dyDescent="0.25">
      <c r="A179" s="541"/>
      <c r="B179" s="541"/>
      <c r="C179" s="541"/>
      <c r="D179" s="541"/>
      <c r="E179" s="541"/>
      <c r="F179" s="541"/>
      <c r="G179" s="541"/>
      <c r="H179" s="541"/>
    </row>
    <row r="180" spans="1:8" ht="14.25" customHeight="1" x14ac:dyDescent="0.25">
      <c r="A180" s="541"/>
      <c r="B180" s="541"/>
      <c r="C180" s="541"/>
      <c r="D180" s="541"/>
      <c r="E180" s="541"/>
      <c r="F180" s="541"/>
      <c r="G180" s="541"/>
      <c r="H180" s="541"/>
    </row>
    <row r="181" spans="1:8" ht="14.25" customHeight="1" x14ac:dyDescent="0.25">
      <c r="A181" s="541"/>
      <c r="B181" s="541"/>
      <c r="C181" s="541"/>
      <c r="D181" s="541"/>
      <c r="E181" s="541"/>
      <c r="F181" s="541"/>
      <c r="G181" s="541"/>
      <c r="H181" s="541"/>
    </row>
    <row r="182" spans="1:8" ht="14.25" customHeight="1" x14ac:dyDescent="0.25">
      <c r="A182" s="541"/>
      <c r="B182" s="541"/>
      <c r="C182" s="541"/>
      <c r="D182" s="541"/>
      <c r="E182" s="541"/>
      <c r="F182" s="541"/>
      <c r="G182" s="541"/>
      <c r="H182" s="541"/>
    </row>
    <row r="183" spans="1:8" ht="14.25" customHeight="1" x14ac:dyDescent="0.25">
      <c r="A183" s="541"/>
      <c r="B183" s="541"/>
      <c r="C183" s="541"/>
      <c r="D183" s="541"/>
      <c r="E183" s="541"/>
      <c r="F183" s="541"/>
      <c r="G183" s="541"/>
      <c r="H183" s="541"/>
    </row>
    <row r="184" spans="1:8" ht="14.25" customHeight="1" x14ac:dyDescent="0.25">
      <c r="A184" s="541"/>
      <c r="B184" s="541"/>
      <c r="C184" s="541"/>
      <c r="D184" s="541"/>
      <c r="E184" s="541"/>
      <c r="F184" s="541"/>
      <c r="G184" s="541"/>
      <c r="H184" s="541"/>
    </row>
    <row r="185" spans="1:8" ht="14.25" customHeight="1" x14ac:dyDescent="0.25">
      <c r="A185" s="541"/>
      <c r="B185" s="541"/>
      <c r="C185" s="541"/>
      <c r="D185" s="541"/>
      <c r="E185" s="541"/>
      <c r="F185" s="541"/>
      <c r="G185" s="541"/>
      <c r="H185" s="541"/>
    </row>
    <row r="186" spans="1:8" ht="14.25" customHeight="1" x14ac:dyDescent="0.25">
      <c r="A186" s="541"/>
      <c r="B186" s="541"/>
      <c r="C186" s="541"/>
      <c r="D186" s="541"/>
      <c r="E186" s="541"/>
      <c r="F186" s="541"/>
      <c r="G186" s="541"/>
      <c r="H186" s="541"/>
    </row>
    <row r="187" spans="1:8" ht="14.25" customHeight="1" x14ac:dyDescent="0.25">
      <c r="A187" s="541"/>
      <c r="B187" s="541"/>
      <c r="C187" s="541"/>
      <c r="D187" s="541"/>
      <c r="E187" s="541"/>
      <c r="F187" s="541"/>
      <c r="G187" s="541"/>
      <c r="H187" s="541"/>
    </row>
    <row r="188" spans="1:8" ht="14.25" customHeight="1" x14ac:dyDescent="0.25">
      <c r="A188" s="541"/>
      <c r="B188" s="541"/>
      <c r="C188" s="541"/>
      <c r="D188" s="541"/>
      <c r="E188" s="541"/>
      <c r="F188" s="541"/>
      <c r="G188" s="541"/>
      <c r="H188" s="541"/>
    </row>
    <row r="189" spans="1:8" ht="14.25" customHeight="1" x14ac:dyDescent="0.25">
      <c r="A189" s="541"/>
      <c r="B189" s="541"/>
      <c r="C189" s="541"/>
      <c r="D189" s="541"/>
      <c r="E189" s="541"/>
      <c r="F189" s="541"/>
      <c r="G189" s="541"/>
      <c r="H189" s="541"/>
    </row>
    <row r="190" spans="1:8" ht="14.25" customHeight="1" x14ac:dyDescent="0.25">
      <c r="A190" s="541"/>
      <c r="B190" s="541"/>
      <c r="C190" s="541"/>
      <c r="D190" s="541"/>
      <c r="E190" s="541"/>
      <c r="F190" s="541"/>
      <c r="G190" s="541"/>
      <c r="H190" s="541"/>
    </row>
    <row r="191" spans="1:8" ht="14.25" customHeight="1" x14ac:dyDescent="0.25">
      <c r="A191" s="541"/>
      <c r="B191" s="541"/>
      <c r="C191" s="541"/>
      <c r="D191" s="541"/>
      <c r="E191" s="541"/>
      <c r="F191" s="541"/>
      <c r="G191" s="541"/>
      <c r="H191" s="541"/>
    </row>
    <row r="192" spans="1:8" ht="14.25" customHeight="1" x14ac:dyDescent="0.25">
      <c r="A192" s="541"/>
      <c r="B192" s="541"/>
      <c r="C192" s="541"/>
      <c r="D192" s="541"/>
      <c r="E192" s="541"/>
      <c r="F192" s="541"/>
      <c r="G192" s="541"/>
      <c r="H192" s="541"/>
    </row>
    <row r="193" spans="1:8" ht="14.25" customHeight="1" x14ac:dyDescent="0.25">
      <c r="A193" s="541"/>
      <c r="B193" s="541"/>
      <c r="C193" s="541"/>
      <c r="D193" s="541"/>
      <c r="E193" s="541"/>
      <c r="F193" s="541"/>
      <c r="G193" s="541"/>
      <c r="H193" s="541"/>
    </row>
    <row r="194" spans="1:8" ht="14.25" customHeight="1" x14ac:dyDescent="0.25">
      <c r="A194" s="541"/>
      <c r="B194" s="541"/>
      <c r="C194" s="541"/>
      <c r="D194" s="541"/>
      <c r="E194" s="541"/>
      <c r="F194" s="541"/>
      <c r="G194" s="541"/>
      <c r="H194" s="541"/>
    </row>
    <row r="195" spans="1:8" ht="14.25" customHeight="1" x14ac:dyDescent="0.25">
      <c r="A195" s="541"/>
      <c r="B195" s="541"/>
      <c r="C195" s="541"/>
      <c r="D195" s="541"/>
      <c r="E195" s="541"/>
      <c r="F195" s="541"/>
      <c r="G195" s="541"/>
      <c r="H195" s="541"/>
    </row>
    <row r="196" spans="1:8" ht="14.25" customHeight="1" x14ac:dyDescent="0.25">
      <c r="A196" s="541"/>
      <c r="B196" s="541"/>
      <c r="C196" s="541"/>
      <c r="D196" s="541"/>
      <c r="E196" s="541"/>
      <c r="F196" s="541"/>
      <c r="G196" s="541"/>
      <c r="H196" s="541"/>
    </row>
    <row r="197" spans="1:8" ht="14.25" customHeight="1" x14ac:dyDescent="0.25">
      <c r="A197" s="541"/>
      <c r="B197" s="541"/>
      <c r="C197" s="541"/>
      <c r="D197" s="541"/>
      <c r="E197" s="541"/>
      <c r="F197" s="541"/>
      <c r="G197" s="541"/>
      <c r="H197" s="541"/>
    </row>
    <row r="198" spans="1:8" ht="14.25" customHeight="1" x14ac:dyDescent="0.25">
      <c r="A198" s="541"/>
      <c r="B198" s="541"/>
      <c r="C198" s="541"/>
      <c r="D198" s="541"/>
      <c r="E198" s="541"/>
      <c r="F198" s="541"/>
      <c r="G198" s="541"/>
      <c r="H198" s="541"/>
    </row>
    <row r="199" spans="1:8" ht="14.25" customHeight="1" x14ac:dyDescent="0.25">
      <c r="A199" s="541"/>
      <c r="B199" s="541"/>
      <c r="C199" s="541"/>
      <c r="D199" s="541"/>
      <c r="E199" s="541"/>
      <c r="F199" s="541"/>
      <c r="G199" s="541"/>
      <c r="H199" s="541"/>
    </row>
    <row r="200" spans="1:8" ht="14.25" customHeight="1" x14ac:dyDescent="0.25">
      <c r="A200" s="541"/>
      <c r="B200" s="541"/>
      <c r="C200" s="541"/>
      <c r="D200" s="541"/>
      <c r="E200" s="541"/>
      <c r="F200" s="541"/>
      <c r="G200" s="541"/>
      <c r="H200" s="541"/>
    </row>
    <row r="201" spans="1:8" ht="14.25" customHeight="1" x14ac:dyDescent="0.25">
      <c r="A201" s="541"/>
      <c r="B201" s="541"/>
      <c r="C201" s="541"/>
      <c r="D201" s="541"/>
      <c r="E201" s="541"/>
      <c r="F201" s="541"/>
      <c r="G201" s="541"/>
      <c r="H201" s="541"/>
    </row>
    <row r="202" spans="1:8" ht="14.25" customHeight="1" x14ac:dyDescent="0.25">
      <c r="A202" s="541"/>
      <c r="B202" s="541"/>
      <c r="C202" s="541"/>
      <c r="D202" s="541"/>
      <c r="E202" s="541"/>
      <c r="F202" s="541"/>
      <c r="G202" s="541"/>
      <c r="H202" s="541"/>
    </row>
    <row r="203" spans="1:8" ht="14.25" customHeight="1" x14ac:dyDescent="0.25">
      <c r="A203" s="541"/>
      <c r="B203" s="541"/>
      <c r="C203" s="541"/>
      <c r="D203" s="541"/>
      <c r="E203" s="541"/>
      <c r="F203" s="541"/>
      <c r="G203" s="541"/>
      <c r="H203" s="541"/>
    </row>
    <row r="204" spans="1:8" ht="14.25" customHeight="1" x14ac:dyDescent="0.25">
      <c r="A204" s="541"/>
      <c r="B204" s="541"/>
      <c r="C204" s="541"/>
      <c r="D204" s="541"/>
      <c r="E204" s="541"/>
      <c r="F204" s="541"/>
      <c r="G204" s="541"/>
      <c r="H204" s="541"/>
    </row>
    <row r="205" spans="1:8" ht="14.25" customHeight="1" x14ac:dyDescent="0.25">
      <c r="A205" s="541"/>
      <c r="B205" s="541"/>
      <c r="C205" s="541"/>
      <c r="D205" s="541"/>
      <c r="E205" s="541"/>
      <c r="F205" s="541"/>
      <c r="G205" s="541"/>
      <c r="H205" s="541"/>
    </row>
    <row r="206" spans="1:8" ht="14.25" customHeight="1" x14ac:dyDescent="0.25">
      <c r="A206" s="541"/>
      <c r="B206" s="541"/>
      <c r="C206" s="541"/>
      <c r="D206" s="541"/>
      <c r="E206" s="541"/>
      <c r="F206" s="541"/>
      <c r="G206" s="541"/>
      <c r="H206" s="541"/>
    </row>
    <row r="207" spans="1:8" ht="14.25" customHeight="1" x14ac:dyDescent="0.25">
      <c r="A207" s="541"/>
      <c r="B207" s="541"/>
      <c r="C207" s="541"/>
      <c r="D207" s="541"/>
      <c r="E207" s="541"/>
      <c r="F207" s="541"/>
      <c r="G207" s="541"/>
      <c r="H207" s="541"/>
    </row>
    <row r="208" spans="1:8" ht="14.25" customHeight="1" x14ac:dyDescent="0.25">
      <c r="A208" s="541"/>
      <c r="B208" s="541"/>
      <c r="C208" s="541"/>
      <c r="D208" s="541"/>
      <c r="E208" s="541"/>
      <c r="F208" s="541"/>
      <c r="G208" s="541"/>
      <c r="H208" s="541"/>
    </row>
    <row r="209" spans="1:8" ht="14.25" customHeight="1" x14ac:dyDescent="0.25">
      <c r="A209" s="541"/>
      <c r="B209" s="541"/>
      <c r="C209" s="541"/>
      <c r="D209" s="541"/>
      <c r="E209" s="541"/>
      <c r="F209" s="541"/>
      <c r="G209" s="541"/>
      <c r="H209" s="541"/>
    </row>
    <row r="210" spans="1:8" ht="14.25" customHeight="1" x14ac:dyDescent="0.25">
      <c r="A210" s="541"/>
      <c r="B210" s="541"/>
      <c r="C210" s="541"/>
      <c r="D210" s="541"/>
      <c r="E210" s="541"/>
      <c r="F210" s="541"/>
      <c r="G210" s="541"/>
      <c r="H210" s="541"/>
    </row>
    <row r="211" spans="1:8" ht="14.25" customHeight="1" x14ac:dyDescent="0.25">
      <c r="A211" s="541"/>
      <c r="B211" s="541"/>
      <c r="C211" s="541"/>
      <c r="D211" s="541"/>
      <c r="E211" s="541"/>
      <c r="F211" s="541"/>
      <c r="G211" s="541"/>
      <c r="H211" s="541"/>
    </row>
    <row r="212" spans="1:8" ht="14.25" customHeight="1" x14ac:dyDescent="0.25">
      <c r="A212" s="541"/>
      <c r="B212" s="541"/>
      <c r="C212" s="541"/>
      <c r="D212" s="541"/>
      <c r="E212" s="541"/>
      <c r="F212" s="541"/>
      <c r="G212" s="541"/>
      <c r="H212" s="541"/>
    </row>
    <row r="213" spans="1:8" ht="14.25" customHeight="1" x14ac:dyDescent="0.25">
      <c r="A213" s="541"/>
      <c r="B213" s="541"/>
      <c r="C213" s="541"/>
      <c r="D213" s="541"/>
      <c r="E213" s="541"/>
      <c r="F213" s="541"/>
      <c r="G213" s="541"/>
      <c r="H213" s="541"/>
    </row>
    <row r="214" spans="1:8" ht="14.25" customHeight="1" x14ac:dyDescent="0.25">
      <c r="A214" s="541"/>
      <c r="B214" s="541"/>
      <c r="C214" s="541"/>
      <c r="D214" s="541"/>
      <c r="E214" s="541"/>
      <c r="F214" s="541"/>
      <c r="G214" s="541"/>
      <c r="H214" s="541"/>
    </row>
    <row r="215" spans="1:8" ht="14.25" customHeight="1" x14ac:dyDescent="0.25">
      <c r="A215" s="541"/>
      <c r="B215" s="541"/>
      <c r="C215" s="541"/>
      <c r="D215" s="541"/>
      <c r="E215" s="541"/>
      <c r="F215" s="541"/>
      <c r="G215" s="541"/>
      <c r="H215" s="541"/>
    </row>
    <row r="216" spans="1:8" ht="14.25" customHeight="1" x14ac:dyDescent="0.25">
      <c r="A216" s="541"/>
      <c r="B216" s="541"/>
      <c r="C216" s="541"/>
      <c r="D216" s="541"/>
      <c r="E216" s="541"/>
      <c r="F216" s="541"/>
      <c r="G216" s="541"/>
      <c r="H216" s="541"/>
    </row>
    <row r="217" spans="1:8" ht="14.25" customHeight="1" x14ac:dyDescent="0.25">
      <c r="A217" s="541"/>
      <c r="B217" s="541"/>
      <c r="C217" s="541"/>
      <c r="D217" s="541"/>
      <c r="E217" s="541"/>
      <c r="F217" s="541"/>
      <c r="G217" s="541"/>
      <c r="H217" s="541"/>
    </row>
    <row r="218" spans="1:8" ht="14.25" customHeight="1" x14ac:dyDescent="0.25">
      <c r="A218" s="541"/>
      <c r="B218" s="541"/>
      <c r="C218" s="541"/>
      <c r="D218" s="541"/>
      <c r="E218" s="541"/>
      <c r="F218" s="541"/>
      <c r="G218" s="541"/>
      <c r="H218" s="541"/>
    </row>
    <row r="219" spans="1:8" ht="14.25" customHeight="1" x14ac:dyDescent="0.25">
      <c r="A219" s="541"/>
      <c r="B219" s="541"/>
      <c r="C219" s="541"/>
      <c r="D219" s="541"/>
      <c r="E219" s="541"/>
      <c r="F219" s="541"/>
      <c r="G219" s="541"/>
      <c r="H219" s="541"/>
    </row>
    <row r="220" spans="1:8" ht="14.25" customHeight="1" x14ac:dyDescent="0.25">
      <c r="A220" s="541"/>
      <c r="B220" s="541"/>
      <c r="C220" s="541"/>
      <c r="D220" s="541"/>
      <c r="E220" s="541"/>
      <c r="F220" s="541"/>
      <c r="G220" s="541"/>
      <c r="H220" s="541"/>
    </row>
    <row r="221" spans="1:8" ht="14.25" customHeight="1" x14ac:dyDescent="0.25">
      <c r="A221" s="541"/>
      <c r="B221" s="541"/>
      <c r="C221" s="541"/>
      <c r="D221" s="541"/>
      <c r="E221" s="541"/>
      <c r="F221" s="541"/>
      <c r="G221" s="541"/>
      <c r="H221" s="541"/>
    </row>
    <row r="222" spans="1:8" ht="14.25" customHeight="1" x14ac:dyDescent="0.25">
      <c r="A222" s="541"/>
      <c r="B222" s="541"/>
      <c r="C222" s="541"/>
      <c r="D222" s="541"/>
      <c r="E222" s="541"/>
      <c r="F222" s="541"/>
      <c r="G222" s="541"/>
      <c r="H222" s="541"/>
    </row>
    <row r="223" spans="1:8" ht="14.25" customHeight="1" x14ac:dyDescent="0.25">
      <c r="A223" s="541"/>
      <c r="B223" s="541"/>
      <c r="C223" s="541"/>
      <c r="D223" s="541"/>
      <c r="E223" s="541"/>
      <c r="F223" s="541"/>
      <c r="G223" s="541"/>
      <c r="H223" s="541"/>
    </row>
    <row r="224" spans="1:8" ht="14.25" customHeight="1" x14ac:dyDescent="0.25">
      <c r="A224" s="541"/>
      <c r="B224" s="541"/>
      <c r="C224" s="541"/>
      <c r="D224" s="541"/>
      <c r="E224" s="541"/>
      <c r="F224" s="541"/>
      <c r="G224" s="541"/>
      <c r="H224" s="541"/>
    </row>
    <row r="225" spans="1:8" ht="14.25" customHeight="1" x14ac:dyDescent="0.25">
      <c r="A225" s="541"/>
      <c r="B225" s="541"/>
      <c r="C225" s="541"/>
      <c r="D225" s="541"/>
      <c r="E225" s="541"/>
      <c r="F225" s="541"/>
      <c r="G225" s="541"/>
      <c r="H225" s="541"/>
    </row>
    <row r="226" spans="1:8" ht="14.25" customHeight="1" x14ac:dyDescent="0.25">
      <c r="A226" s="541"/>
      <c r="B226" s="541"/>
      <c r="C226" s="541"/>
      <c r="D226" s="541"/>
      <c r="E226" s="541"/>
      <c r="F226" s="541"/>
      <c r="G226" s="541"/>
      <c r="H226" s="541"/>
    </row>
    <row r="227" spans="1:8" ht="14.25" customHeight="1" x14ac:dyDescent="0.25">
      <c r="A227" s="541"/>
      <c r="B227" s="541"/>
      <c r="C227" s="541"/>
      <c r="D227" s="541"/>
      <c r="E227" s="541"/>
      <c r="F227" s="541"/>
      <c r="G227" s="541"/>
      <c r="H227" s="541"/>
    </row>
    <row r="228" spans="1:8" ht="14.25" customHeight="1" x14ac:dyDescent="0.25">
      <c r="A228" s="541"/>
      <c r="B228" s="541"/>
      <c r="C228" s="541"/>
      <c r="D228" s="541"/>
      <c r="E228" s="541"/>
      <c r="F228" s="541"/>
      <c r="G228" s="541"/>
      <c r="H228" s="541"/>
    </row>
    <row r="229" spans="1:8" ht="14.25" customHeight="1" x14ac:dyDescent="0.25">
      <c r="A229" s="541"/>
      <c r="B229" s="541"/>
      <c r="C229" s="541"/>
      <c r="D229" s="541"/>
      <c r="E229" s="541"/>
      <c r="F229" s="541"/>
      <c r="G229" s="541"/>
      <c r="H229" s="541"/>
    </row>
    <row r="230" spans="1:8" ht="14.25" customHeight="1" x14ac:dyDescent="0.25">
      <c r="A230" s="541"/>
      <c r="B230" s="541"/>
      <c r="C230" s="541"/>
      <c r="D230" s="541"/>
      <c r="E230" s="541"/>
      <c r="F230" s="541"/>
      <c r="G230" s="541"/>
      <c r="H230" s="541"/>
    </row>
    <row r="231" spans="1:8" ht="14.25" customHeight="1" x14ac:dyDescent="0.25">
      <c r="A231" s="541"/>
      <c r="B231" s="541"/>
      <c r="C231" s="541"/>
      <c r="D231" s="541"/>
      <c r="E231" s="541"/>
      <c r="F231" s="541"/>
      <c r="G231" s="541"/>
      <c r="H231" s="541"/>
    </row>
    <row r="232" spans="1:8" ht="14.25" customHeight="1" x14ac:dyDescent="0.25">
      <c r="A232" s="541"/>
      <c r="B232" s="541"/>
      <c r="C232" s="541"/>
      <c r="D232" s="541"/>
      <c r="E232" s="541"/>
      <c r="F232" s="541"/>
      <c r="G232" s="541"/>
      <c r="H232" s="541"/>
    </row>
    <row r="233" spans="1:8" ht="14.25" customHeight="1" x14ac:dyDescent="0.25">
      <c r="A233" s="541"/>
      <c r="B233" s="541"/>
      <c r="C233" s="541"/>
      <c r="D233" s="541"/>
      <c r="E233" s="541"/>
      <c r="F233" s="541"/>
      <c r="G233" s="541"/>
      <c r="H233" s="541"/>
    </row>
    <row r="234" spans="1:8" ht="14.25" customHeight="1" x14ac:dyDescent="0.25">
      <c r="A234" s="541"/>
      <c r="B234" s="541"/>
      <c r="C234" s="541"/>
      <c r="D234" s="541"/>
      <c r="E234" s="541"/>
      <c r="F234" s="541"/>
      <c r="G234" s="541"/>
      <c r="H234" s="541"/>
    </row>
    <row r="235" spans="1:8" ht="14.25" customHeight="1" x14ac:dyDescent="0.25">
      <c r="A235" s="541"/>
      <c r="B235" s="541"/>
      <c r="C235" s="541"/>
      <c r="D235" s="541"/>
      <c r="E235" s="541"/>
      <c r="F235" s="541"/>
      <c r="G235" s="541"/>
      <c r="H235" s="541"/>
    </row>
    <row r="236" spans="1:8" ht="14.25" customHeight="1" x14ac:dyDescent="0.25">
      <c r="A236" s="541"/>
      <c r="B236" s="541"/>
      <c r="C236" s="541"/>
      <c r="D236" s="541"/>
      <c r="E236" s="541"/>
      <c r="F236" s="541"/>
      <c r="G236" s="541"/>
      <c r="H236" s="541"/>
    </row>
    <row r="237" spans="1:8" ht="14.25" customHeight="1" x14ac:dyDescent="0.25">
      <c r="A237" s="541"/>
      <c r="B237" s="541"/>
      <c r="C237" s="541"/>
      <c r="D237" s="541"/>
      <c r="E237" s="541"/>
      <c r="F237" s="541"/>
      <c r="G237" s="541"/>
      <c r="H237" s="541"/>
    </row>
    <row r="238" spans="1:8" ht="14.25" customHeight="1" x14ac:dyDescent="0.25">
      <c r="A238" s="541"/>
      <c r="B238" s="541"/>
      <c r="C238" s="541"/>
      <c r="D238" s="541"/>
      <c r="E238" s="541"/>
      <c r="F238" s="541"/>
      <c r="G238" s="541"/>
      <c r="H238" s="541"/>
    </row>
    <row r="239" spans="1:8" ht="14.25" customHeight="1" x14ac:dyDescent="0.25">
      <c r="A239" s="541"/>
      <c r="B239" s="541"/>
      <c r="C239" s="541"/>
      <c r="D239" s="541"/>
      <c r="E239" s="541"/>
      <c r="F239" s="541"/>
      <c r="G239" s="541"/>
      <c r="H239" s="541"/>
    </row>
    <row r="240" spans="1:8" ht="14.25" customHeight="1" x14ac:dyDescent="0.25">
      <c r="A240" s="541"/>
      <c r="B240" s="541"/>
      <c r="C240" s="541"/>
      <c r="D240" s="541"/>
      <c r="E240" s="541"/>
      <c r="F240" s="541"/>
      <c r="G240" s="541"/>
      <c r="H240" s="541"/>
    </row>
    <row r="241" spans="1:8" ht="14.25" customHeight="1" x14ac:dyDescent="0.25">
      <c r="A241" s="541"/>
      <c r="B241" s="541"/>
      <c r="C241" s="541"/>
      <c r="D241" s="541"/>
      <c r="E241" s="541"/>
      <c r="F241" s="541"/>
      <c r="G241" s="541"/>
      <c r="H241" s="541"/>
    </row>
    <row r="242" spans="1:8" ht="14.25" customHeight="1" x14ac:dyDescent="0.25">
      <c r="A242" s="541"/>
      <c r="B242" s="541"/>
      <c r="C242" s="541"/>
      <c r="D242" s="541"/>
      <c r="E242" s="541"/>
      <c r="F242" s="541"/>
      <c r="G242" s="541"/>
      <c r="H242" s="541"/>
    </row>
    <row r="243" spans="1:8" ht="14.25" customHeight="1" x14ac:dyDescent="0.25">
      <c r="A243" s="541"/>
      <c r="B243" s="541"/>
      <c r="C243" s="541"/>
      <c r="D243" s="541"/>
      <c r="E243" s="541"/>
      <c r="F243" s="541"/>
      <c r="G243" s="541"/>
      <c r="H243" s="541"/>
    </row>
    <row r="244" spans="1:8" ht="14.25" customHeight="1" x14ac:dyDescent="0.25">
      <c r="A244" s="541"/>
      <c r="B244" s="541"/>
      <c r="C244" s="541"/>
      <c r="D244" s="541"/>
      <c r="E244" s="541"/>
      <c r="F244" s="541"/>
      <c r="G244" s="541"/>
      <c r="H244" s="541"/>
    </row>
    <row r="245" spans="1:8" ht="14.25" customHeight="1" x14ac:dyDescent="0.25">
      <c r="A245" s="541"/>
      <c r="B245" s="541"/>
      <c r="C245" s="541"/>
      <c r="D245" s="541"/>
      <c r="E245" s="541"/>
      <c r="F245" s="541"/>
      <c r="G245" s="541"/>
      <c r="H245" s="541"/>
    </row>
    <row r="246" spans="1:8" ht="14.25" customHeight="1" x14ac:dyDescent="0.25">
      <c r="A246" s="541"/>
      <c r="B246" s="541"/>
      <c r="C246" s="541"/>
      <c r="D246" s="541"/>
      <c r="E246" s="541"/>
      <c r="F246" s="541"/>
      <c r="G246" s="541"/>
      <c r="H246" s="541"/>
    </row>
    <row r="247" spans="1:8" ht="14.25" customHeight="1" x14ac:dyDescent="0.25">
      <c r="A247" s="541"/>
      <c r="B247" s="541"/>
      <c r="C247" s="541"/>
      <c r="D247" s="541"/>
      <c r="E247" s="541"/>
      <c r="F247" s="541"/>
      <c r="G247" s="541"/>
      <c r="H247" s="541"/>
    </row>
    <row r="248" spans="1:8" ht="14.25" customHeight="1" x14ac:dyDescent="0.25">
      <c r="A248" s="541"/>
      <c r="B248" s="541"/>
      <c r="C248" s="541"/>
      <c r="D248" s="541"/>
      <c r="E248" s="541"/>
      <c r="F248" s="541"/>
      <c r="G248" s="541"/>
      <c r="H248" s="541"/>
    </row>
    <row r="249" spans="1:8" ht="14.25" customHeight="1" x14ac:dyDescent="0.25">
      <c r="A249" s="541"/>
      <c r="B249" s="541"/>
      <c r="C249" s="541"/>
      <c r="D249" s="541"/>
      <c r="E249" s="541"/>
      <c r="F249" s="541"/>
      <c r="G249" s="541"/>
      <c r="H249" s="541"/>
    </row>
    <row r="250" spans="1:8" ht="14.25" customHeight="1" x14ac:dyDescent="0.25">
      <c r="A250" s="541"/>
      <c r="B250" s="541"/>
      <c r="C250" s="541"/>
      <c r="D250" s="541"/>
      <c r="E250" s="541"/>
      <c r="F250" s="541"/>
      <c r="G250" s="541"/>
      <c r="H250" s="541"/>
    </row>
    <row r="251" spans="1:8" ht="14.25" customHeight="1" x14ac:dyDescent="0.25">
      <c r="A251" s="541"/>
      <c r="B251" s="541"/>
      <c r="C251" s="541"/>
      <c r="D251" s="541"/>
      <c r="E251" s="541"/>
      <c r="F251" s="541"/>
      <c r="G251" s="541"/>
      <c r="H251" s="541"/>
    </row>
    <row r="252" spans="1:8" ht="14.25" customHeight="1" x14ac:dyDescent="0.25">
      <c r="A252" s="541"/>
      <c r="B252" s="541"/>
      <c r="C252" s="541"/>
      <c r="D252" s="541"/>
      <c r="E252" s="541"/>
      <c r="F252" s="541"/>
      <c r="G252" s="541"/>
      <c r="H252" s="541"/>
    </row>
    <row r="253" spans="1:8" ht="14.25" customHeight="1" x14ac:dyDescent="0.25">
      <c r="A253" s="541"/>
      <c r="B253" s="541"/>
      <c r="C253" s="541"/>
      <c r="D253" s="541"/>
      <c r="E253" s="541"/>
      <c r="F253" s="541"/>
      <c r="G253" s="541"/>
      <c r="H253" s="541"/>
    </row>
    <row r="254" spans="1:8" ht="14.25" customHeight="1" x14ac:dyDescent="0.25">
      <c r="A254" s="541"/>
      <c r="B254" s="541"/>
      <c r="C254" s="541"/>
      <c r="D254" s="541"/>
      <c r="E254" s="541"/>
      <c r="F254" s="541"/>
      <c r="G254" s="541"/>
      <c r="H254" s="541"/>
    </row>
    <row r="255" spans="1:8" ht="14.25" customHeight="1" x14ac:dyDescent="0.25">
      <c r="A255" s="541"/>
      <c r="B255" s="541"/>
      <c r="C255" s="541"/>
      <c r="D255" s="541"/>
      <c r="E255" s="541"/>
      <c r="F255" s="541"/>
      <c r="G255" s="541"/>
      <c r="H255" s="541"/>
    </row>
    <row r="256" spans="1:8" ht="14.25" customHeight="1" x14ac:dyDescent="0.25">
      <c r="A256" s="541"/>
      <c r="B256" s="541"/>
      <c r="C256" s="541"/>
      <c r="D256" s="541"/>
      <c r="E256" s="541"/>
      <c r="F256" s="541"/>
      <c r="G256" s="541"/>
      <c r="H256" s="541"/>
    </row>
    <row r="257" spans="1:8" ht="14.25" customHeight="1" x14ac:dyDescent="0.25">
      <c r="A257" s="541"/>
      <c r="B257" s="541"/>
      <c r="C257" s="541"/>
      <c r="D257" s="541"/>
      <c r="E257" s="541"/>
      <c r="F257" s="541"/>
      <c r="G257" s="541"/>
      <c r="H257" s="541"/>
    </row>
    <row r="258" spans="1:8" ht="14.25" customHeight="1" x14ac:dyDescent="0.25">
      <c r="A258" s="541"/>
      <c r="B258" s="541"/>
      <c r="C258" s="541"/>
      <c r="D258" s="541"/>
      <c r="E258" s="541"/>
      <c r="F258" s="541"/>
      <c r="G258" s="541"/>
      <c r="H258" s="541"/>
    </row>
    <row r="259" spans="1:8" ht="14.25" customHeight="1" x14ac:dyDescent="0.25">
      <c r="A259" s="541"/>
      <c r="B259" s="541"/>
      <c r="C259" s="541"/>
      <c r="D259" s="541"/>
      <c r="E259" s="541"/>
      <c r="F259" s="541"/>
      <c r="G259" s="541"/>
      <c r="H259" s="541"/>
    </row>
    <row r="260" spans="1:8" ht="14.25" customHeight="1" x14ac:dyDescent="0.25">
      <c r="A260" s="541"/>
      <c r="B260" s="541"/>
      <c r="C260" s="541"/>
      <c r="D260" s="541"/>
      <c r="E260" s="541"/>
      <c r="F260" s="541"/>
      <c r="G260" s="541"/>
      <c r="H260" s="541"/>
    </row>
    <row r="261" spans="1:8" ht="14.25" customHeight="1" x14ac:dyDescent="0.25">
      <c r="A261" s="541"/>
      <c r="B261" s="541"/>
      <c r="C261" s="541"/>
      <c r="D261" s="541"/>
      <c r="E261" s="541"/>
      <c r="F261" s="541"/>
      <c r="G261" s="541"/>
      <c r="H261" s="541"/>
    </row>
    <row r="262" spans="1:8" ht="14.25" customHeight="1" x14ac:dyDescent="0.25">
      <c r="A262" s="541"/>
      <c r="B262" s="541"/>
      <c r="C262" s="541"/>
      <c r="D262" s="541"/>
      <c r="E262" s="541"/>
      <c r="F262" s="541"/>
      <c r="G262" s="541"/>
      <c r="H262" s="541"/>
    </row>
    <row r="263" spans="1:8" ht="14.25" customHeight="1" x14ac:dyDescent="0.25">
      <c r="A263" s="541"/>
      <c r="B263" s="541"/>
      <c r="C263" s="541"/>
      <c r="D263" s="541"/>
      <c r="E263" s="541"/>
      <c r="F263" s="541"/>
      <c r="G263" s="541"/>
      <c r="H263" s="541"/>
    </row>
    <row r="264" spans="1:8" ht="14.25" customHeight="1" x14ac:dyDescent="0.25">
      <c r="A264" s="541"/>
      <c r="B264" s="541"/>
      <c r="C264" s="541"/>
      <c r="D264" s="541"/>
      <c r="E264" s="541"/>
      <c r="F264" s="541"/>
      <c r="G264" s="541"/>
      <c r="H264" s="541"/>
    </row>
    <row r="265" spans="1:8" ht="14.25" customHeight="1" x14ac:dyDescent="0.25">
      <c r="A265" s="541"/>
      <c r="B265" s="541"/>
      <c r="C265" s="541"/>
      <c r="D265" s="541"/>
      <c r="E265" s="541"/>
      <c r="F265" s="541"/>
      <c r="G265" s="541"/>
      <c r="H265" s="541"/>
    </row>
    <row r="266" spans="1:8" ht="14.25" customHeight="1" x14ac:dyDescent="0.25">
      <c r="A266" s="541"/>
      <c r="B266" s="541"/>
      <c r="C266" s="541"/>
      <c r="D266" s="541"/>
      <c r="E266" s="541"/>
      <c r="F266" s="541"/>
      <c r="G266" s="541"/>
      <c r="H266" s="541"/>
    </row>
    <row r="267" spans="1:8" ht="14.25" customHeight="1" x14ac:dyDescent="0.25">
      <c r="A267" s="541"/>
      <c r="B267" s="541"/>
      <c r="C267" s="541"/>
      <c r="D267" s="541"/>
      <c r="E267" s="541"/>
      <c r="F267" s="541"/>
      <c r="G267" s="541"/>
      <c r="H267" s="541"/>
    </row>
    <row r="268" spans="1:8" ht="14.25" customHeight="1" x14ac:dyDescent="0.25">
      <c r="A268" s="541"/>
      <c r="B268" s="541"/>
      <c r="C268" s="541"/>
      <c r="D268" s="541"/>
      <c r="E268" s="541"/>
      <c r="F268" s="541"/>
      <c r="G268" s="541"/>
      <c r="H268" s="541"/>
    </row>
    <row r="269" spans="1:8" ht="14.25" customHeight="1" x14ac:dyDescent="0.25">
      <c r="A269" s="541"/>
      <c r="B269" s="541"/>
      <c r="C269" s="541"/>
      <c r="D269" s="541"/>
      <c r="E269" s="541"/>
      <c r="F269" s="541"/>
      <c r="G269" s="541"/>
      <c r="H269" s="541"/>
    </row>
    <row r="270" spans="1:8" ht="14.25" customHeight="1" x14ac:dyDescent="0.25">
      <c r="A270" s="541"/>
      <c r="B270" s="541"/>
      <c r="C270" s="541"/>
      <c r="D270" s="541"/>
      <c r="E270" s="541"/>
      <c r="F270" s="541"/>
      <c r="G270" s="541"/>
      <c r="H270" s="541"/>
    </row>
    <row r="271" spans="1:8" ht="14.25" customHeight="1" x14ac:dyDescent="0.25">
      <c r="A271" s="541"/>
      <c r="B271" s="541"/>
      <c r="C271" s="541"/>
      <c r="D271" s="541"/>
      <c r="E271" s="541"/>
      <c r="F271" s="541"/>
      <c r="G271" s="541"/>
      <c r="H271" s="541"/>
    </row>
    <row r="272" spans="1:8" ht="14.25" customHeight="1" x14ac:dyDescent="0.25">
      <c r="A272" s="541"/>
      <c r="B272" s="541"/>
      <c r="C272" s="541"/>
      <c r="D272" s="541"/>
      <c r="E272" s="541"/>
      <c r="F272" s="541"/>
      <c r="G272" s="541"/>
      <c r="H272" s="541"/>
    </row>
    <row r="273" spans="1:8" ht="14.25" customHeight="1" x14ac:dyDescent="0.25">
      <c r="A273" s="541"/>
      <c r="B273" s="541"/>
      <c r="C273" s="541"/>
      <c r="D273" s="541"/>
      <c r="E273" s="541"/>
      <c r="F273" s="541"/>
      <c r="G273" s="541"/>
      <c r="H273" s="541"/>
    </row>
    <row r="274" spans="1:8" ht="14.25" customHeight="1" x14ac:dyDescent="0.25">
      <c r="A274" s="541"/>
      <c r="B274" s="541"/>
      <c r="C274" s="541"/>
      <c r="D274" s="541"/>
      <c r="E274" s="541"/>
      <c r="F274" s="541"/>
      <c r="G274" s="541"/>
      <c r="H274" s="541"/>
    </row>
    <row r="275" spans="1:8" ht="14.25" customHeight="1" x14ac:dyDescent="0.25">
      <c r="A275" s="541"/>
      <c r="B275" s="541"/>
      <c r="C275" s="541"/>
      <c r="D275" s="541"/>
      <c r="E275" s="541"/>
      <c r="F275" s="541"/>
      <c r="G275" s="541"/>
      <c r="H275" s="541"/>
    </row>
    <row r="276" spans="1:8" ht="14.25" customHeight="1" x14ac:dyDescent="0.25">
      <c r="A276" s="541"/>
      <c r="B276" s="541"/>
      <c r="C276" s="541"/>
      <c r="D276" s="541"/>
      <c r="E276" s="541"/>
      <c r="F276" s="541"/>
      <c r="G276" s="541"/>
      <c r="H276" s="541"/>
    </row>
    <row r="277" spans="1:8" ht="14.25" customHeight="1" x14ac:dyDescent="0.25">
      <c r="A277" s="541"/>
      <c r="B277" s="541"/>
      <c r="C277" s="541"/>
      <c r="D277" s="541"/>
      <c r="E277" s="541"/>
      <c r="F277" s="541"/>
      <c r="G277" s="541"/>
      <c r="H277" s="541"/>
    </row>
    <row r="278" spans="1:8" ht="14.25" customHeight="1" x14ac:dyDescent="0.25">
      <c r="A278" s="541"/>
      <c r="B278" s="541"/>
      <c r="C278" s="541"/>
      <c r="D278" s="541"/>
      <c r="E278" s="541"/>
      <c r="F278" s="541"/>
      <c r="G278" s="541"/>
      <c r="H278" s="541"/>
    </row>
    <row r="279" spans="1:8" ht="14.25" customHeight="1" x14ac:dyDescent="0.25">
      <c r="A279" s="541"/>
      <c r="B279" s="541"/>
      <c r="C279" s="541"/>
      <c r="D279" s="541"/>
      <c r="E279" s="541"/>
      <c r="F279" s="541"/>
      <c r="G279" s="541"/>
      <c r="H279" s="541"/>
    </row>
    <row r="280" spans="1:8" ht="14.25" customHeight="1" x14ac:dyDescent="0.25">
      <c r="A280" s="541"/>
      <c r="B280" s="541"/>
      <c r="C280" s="541"/>
      <c r="D280" s="541"/>
      <c r="E280" s="541"/>
      <c r="F280" s="541"/>
      <c r="G280" s="541"/>
      <c r="H280" s="541"/>
    </row>
    <row r="281" spans="1:8" ht="14.25" customHeight="1" x14ac:dyDescent="0.25">
      <c r="A281" s="541"/>
      <c r="B281" s="541"/>
      <c r="C281" s="541"/>
      <c r="D281" s="541"/>
      <c r="E281" s="541"/>
      <c r="F281" s="541"/>
      <c r="G281" s="541"/>
      <c r="H281" s="541"/>
    </row>
    <row r="282" spans="1:8" ht="14.25" customHeight="1" x14ac:dyDescent="0.25">
      <c r="A282" s="541"/>
      <c r="B282" s="541"/>
      <c r="C282" s="541"/>
      <c r="D282" s="541"/>
      <c r="E282" s="541"/>
      <c r="F282" s="541"/>
      <c r="G282" s="541"/>
      <c r="H282" s="541"/>
    </row>
    <row r="283" spans="1:8" ht="14.25" customHeight="1" x14ac:dyDescent="0.25">
      <c r="A283" s="541"/>
      <c r="B283" s="541"/>
      <c r="C283" s="541"/>
      <c r="D283" s="541"/>
      <c r="E283" s="541"/>
      <c r="F283" s="541"/>
      <c r="G283" s="541"/>
      <c r="H283" s="541"/>
    </row>
    <row r="284" spans="1:8" ht="14.25" customHeight="1" x14ac:dyDescent="0.25">
      <c r="A284" s="541"/>
      <c r="B284" s="541"/>
      <c r="C284" s="541"/>
      <c r="D284" s="541"/>
      <c r="E284" s="541"/>
      <c r="F284" s="541"/>
      <c r="G284" s="541"/>
      <c r="H284" s="541"/>
    </row>
    <row r="285" spans="1:8" ht="14.25" customHeight="1" x14ac:dyDescent="0.25">
      <c r="A285" s="541"/>
      <c r="B285" s="541"/>
      <c r="C285" s="541"/>
      <c r="D285" s="541"/>
      <c r="E285" s="541"/>
      <c r="F285" s="541"/>
      <c r="G285" s="541"/>
      <c r="H285" s="541"/>
    </row>
    <row r="286" spans="1:8" ht="14.25" customHeight="1" x14ac:dyDescent="0.25">
      <c r="A286" s="541"/>
      <c r="B286" s="541"/>
      <c r="C286" s="541"/>
      <c r="D286" s="541"/>
      <c r="E286" s="541"/>
      <c r="F286" s="541"/>
      <c r="G286" s="541"/>
      <c r="H286" s="541"/>
    </row>
    <row r="287" spans="1:8" ht="14.25" customHeight="1" x14ac:dyDescent="0.25">
      <c r="A287" s="541"/>
      <c r="B287" s="541"/>
      <c r="C287" s="541"/>
      <c r="D287" s="541"/>
      <c r="E287" s="541"/>
      <c r="F287" s="541"/>
      <c r="G287" s="541"/>
      <c r="H287" s="541"/>
    </row>
    <row r="288" spans="1:8" ht="14.25" customHeight="1" x14ac:dyDescent="0.25">
      <c r="A288" s="541"/>
      <c r="B288" s="541"/>
      <c r="C288" s="541"/>
      <c r="D288" s="541"/>
      <c r="E288" s="541"/>
      <c r="F288" s="541"/>
      <c r="G288" s="541"/>
      <c r="H288" s="541"/>
    </row>
    <row r="289" spans="1:8" ht="14.25" customHeight="1" x14ac:dyDescent="0.25">
      <c r="A289" s="541"/>
      <c r="B289" s="541"/>
      <c r="C289" s="541"/>
      <c r="D289" s="541"/>
      <c r="E289" s="541"/>
      <c r="F289" s="541"/>
      <c r="G289" s="541"/>
      <c r="H289" s="541"/>
    </row>
    <row r="290" spans="1:8" ht="14.25" customHeight="1" x14ac:dyDescent="0.25">
      <c r="A290" s="541"/>
      <c r="B290" s="541"/>
      <c r="C290" s="541"/>
      <c r="D290" s="541"/>
      <c r="E290" s="541"/>
      <c r="F290" s="541"/>
      <c r="G290" s="541"/>
      <c r="H290" s="541"/>
    </row>
    <row r="291" spans="1:8" ht="14.25" customHeight="1" x14ac:dyDescent="0.25">
      <c r="A291" s="541"/>
      <c r="B291" s="541"/>
      <c r="C291" s="541"/>
      <c r="D291" s="541"/>
      <c r="E291" s="541"/>
      <c r="F291" s="541"/>
      <c r="G291" s="541"/>
      <c r="H291" s="541"/>
    </row>
    <row r="292" spans="1:8" ht="14.25" customHeight="1" x14ac:dyDescent="0.25">
      <c r="A292" s="541"/>
      <c r="B292" s="541"/>
      <c r="C292" s="541"/>
      <c r="D292" s="541"/>
      <c r="E292" s="541"/>
      <c r="F292" s="541"/>
      <c r="G292" s="541"/>
      <c r="H292" s="541"/>
    </row>
    <row r="293" spans="1:8" ht="14.25" customHeight="1" x14ac:dyDescent="0.25">
      <c r="A293" s="541"/>
      <c r="B293" s="541"/>
      <c r="C293" s="541"/>
      <c r="D293" s="541"/>
      <c r="E293" s="541"/>
      <c r="F293" s="541"/>
      <c r="G293" s="541"/>
      <c r="H293" s="541"/>
    </row>
    <row r="294" spans="1:8" ht="14.25" customHeight="1" x14ac:dyDescent="0.25">
      <c r="A294" s="541"/>
      <c r="B294" s="541"/>
      <c r="C294" s="541"/>
      <c r="D294" s="541"/>
      <c r="E294" s="541"/>
      <c r="F294" s="541"/>
      <c r="G294" s="541"/>
      <c r="H294" s="541"/>
    </row>
    <row r="295" spans="1:8" ht="14.25" customHeight="1" x14ac:dyDescent="0.25">
      <c r="A295" s="541"/>
      <c r="B295" s="541"/>
      <c r="C295" s="541"/>
      <c r="D295" s="541"/>
      <c r="E295" s="541"/>
      <c r="F295" s="541"/>
      <c r="G295" s="541"/>
      <c r="H295" s="541"/>
    </row>
    <row r="296" spans="1:8" ht="14.25" customHeight="1" x14ac:dyDescent="0.25">
      <c r="A296" s="541"/>
      <c r="B296" s="541"/>
      <c r="C296" s="541"/>
      <c r="D296" s="541"/>
      <c r="E296" s="541"/>
      <c r="F296" s="541"/>
      <c r="G296" s="541"/>
      <c r="H296" s="541"/>
    </row>
    <row r="297" spans="1:8" ht="14.25" customHeight="1" x14ac:dyDescent="0.25">
      <c r="A297" s="541"/>
      <c r="B297" s="541"/>
      <c r="C297" s="541"/>
      <c r="D297" s="541"/>
      <c r="E297" s="541"/>
      <c r="F297" s="541"/>
      <c r="G297" s="541"/>
      <c r="H297" s="541"/>
    </row>
    <row r="298" spans="1:8" ht="14.25" customHeight="1" x14ac:dyDescent="0.25">
      <c r="A298" s="541"/>
      <c r="B298" s="541"/>
      <c r="C298" s="541"/>
      <c r="D298" s="541"/>
      <c r="E298" s="541"/>
      <c r="F298" s="541"/>
      <c r="G298" s="541"/>
      <c r="H298" s="541"/>
    </row>
    <row r="299" spans="1:8" ht="14.25" customHeight="1" x14ac:dyDescent="0.25">
      <c r="A299" s="541"/>
      <c r="B299" s="541"/>
      <c r="C299" s="541"/>
      <c r="D299" s="541"/>
      <c r="E299" s="541"/>
      <c r="F299" s="541"/>
      <c r="G299" s="541"/>
      <c r="H299" s="541"/>
    </row>
    <row r="300" spans="1:8" ht="14.25" customHeight="1" x14ac:dyDescent="0.25">
      <c r="A300" s="541"/>
      <c r="B300" s="541"/>
      <c r="C300" s="541"/>
      <c r="D300" s="541"/>
      <c r="E300" s="541"/>
      <c r="F300" s="541"/>
      <c r="G300" s="541"/>
      <c r="H300" s="541"/>
    </row>
    <row r="301" spans="1:8" ht="14.25" customHeight="1" x14ac:dyDescent="0.25">
      <c r="A301" s="541"/>
      <c r="B301" s="541"/>
      <c r="C301" s="541"/>
      <c r="D301" s="541"/>
      <c r="E301" s="541"/>
      <c r="F301" s="541"/>
      <c r="G301" s="541"/>
      <c r="H301" s="541"/>
    </row>
    <row r="302" spans="1:8" ht="14.25" customHeight="1" x14ac:dyDescent="0.25">
      <c r="A302" s="541"/>
      <c r="B302" s="541"/>
      <c r="C302" s="541"/>
      <c r="D302" s="541"/>
      <c r="E302" s="541"/>
      <c r="F302" s="541"/>
      <c r="G302" s="541"/>
      <c r="H302" s="541"/>
    </row>
    <row r="303" spans="1:8" ht="14.25" customHeight="1" x14ac:dyDescent="0.25">
      <c r="A303" s="541"/>
      <c r="B303" s="541"/>
      <c r="C303" s="541"/>
      <c r="D303" s="541"/>
      <c r="E303" s="541"/>
      <c r="F303" s="541"/>
      <c r="G303" s="541"/>
      <c r="H303" s="541"/>
    </row>
    <row r="304" spans="1:8" ht="14.25" customHeight="1" x14ac:dyDescent="0.25">
      <c r="A304" s="541"/>
      <c r="B304" s="541"/>
      <c r="C304" s="541"/>
      <c r="D304" s="541"/>
      <c r="E304" s="541"/>
      <c r="F304" s="541"/>
      <c r="G304" s="541"/>
      <c r="H304" s="541"/>
    </row>
    <row r="305" spans="1:8" ht="14.25" customHeight="1" x14ac:dyDescent="0.25">
      <c r="A305" s="541"/>
      <c r="B305" s="541"/>
      <c r="C305" s="541"/>
      <c r="D305" s="541"/>
      <c r="E305" s="541"/>
      <c r="F305" s="541"/>
      <c r="G305" s="541"/>
      <c r="H305" s="541"/>
    </row>
  </sheetData>
  <mergeCells count="12">
    <mergeCell ref="B12:D12"/>
    <mergeCell ref="B1:D1"/>
    <mergeCell ref="B2:D2"/>
    <mergeCell ref="B3:D3"/>
    <mergeCell ref="B4:D4"/>
    <mergeCell ref="B5:D5"/>
    <mergeCell ref="B6:D6"/>
    <mergeCell ref="B7:D7"/>
    <mergeCell ref="B8:D8"/>
    <mergeCell ref="B9:D9"/>
    <mergeCell ref="B10:D10"/>
    <mergeCell ref="B11:D11"/>
  </mergeCells>
  <pageMargins left="0.23622047244094488" right="0.23622047244094488" top="0.15748031496062992" bottom="0.3543307086614173" header="0.31496062992125984" footer="0.31496062992125984"/>
  <pageSetup paperSize="9" scale="10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5"/>
  <sheetViews>
    <sheetView workbookViewId="0">
      <selection activeCell="D2" sqref="D2:D15"/>
    </sheetView>
  </sheetViews>
  <sheetFormatPr defaultRowHeight="12.75" x14ac:dyDescent="0.2"/>
  <cols>
    <col min="1" max="1" width="23.140625" customWidth="1"/>
    <col min="2" max="2" width="52.5703125" customWidth="1"/>
  </cols>
  <sheetData>
    <row r="2" spans="1:4" x14ac:dyDescent="0.2">
      <c r="A2" t="s">
        <v>34</v>
      </c>
      <c r="B2" t="s">
        <v>169</v>
      </c>
      <c r="C2">
        <v>28</v>
      </c>
      <c r="D2">
        <v>24</v>
      </c>
    </row>
    <row r="3" spans="1:4" x14ac:dyDescent="0.2">
      <c r="A3" t="s">
        <v>35</v>
      </c>
      <c r="B3" t="s">
        <v>23</v>
      </c>
      <c r="C3">
        <v>28</v>
      </c>
      <c r="D3">
        <v>24</v>
      </c>
    </row>
    <row r="4" spans="1:4" x14ac:dyDescent="0.2">
      <c r="A4" t="s">
        <v>19</v>
      </c>
      <c r="B4" t="s">
        <v>173</v>
      </c>
      <c r="C4">
        <v>42</v>
      </c>
    </row>
    <row r="5" spans="1:4" x14ac:dyDescent="0.2">
      <c r="A5" t="s">
        <v>85</v>
      </c>
      <c r="B5" t="s">
        <v>174</v>
      </c>
      <c r="C5">
        <v>84</v>
      </c>
      <c r="D5">
        <v>24</v>
      </c>
    </row>
    <row r="6" spans="1:4" x14ac:dyDescent="0.2">
      <c r="A6" t="s">
        <v>26</v>
      </c>
      <c r="B6" t="s">
        <v>196</v>
      </c>
      <c r="C6">
        <v>108</v>
      </c>
      <c r="D6">
        <v>36</v>
      </c>
    </row>
    <row r="7" spans="1:4" x14ac:dyDescent="0.2">
      <c r="A7" t="s">
        <v>21</v>
      </c>
      <c r="B7" t="s">
        <v>178</v>
      </c>
      <c r="C7">
        <v>112</v>
      </c>
      <c r="D7">
        <v>36</v>
      </c>
    </row>
    <row r="8" spans="1:4" x14ac:dyDescent="0.2">
      <c r="A8" t="s">
        <v>27</v>
      </c>
      <c r="B8" t="s">
        <v>179</v>
      </c>
      <c r="C8">
        <v>112</v>
      </c>
      <c r="D8">
        <v>36</v>
      </c>
    </row>
    <row r="9" spans="1:4" x14ac:dyDescent="0.2">
      <c r="A9" t="s">
        <v>180</v>
      </c>
      <c r="B9" t="s">
        <v>181</v>
      </c>
      <c r="C9">
        <v>84</v>
      </c>
      <c r="D9">
        <v>24</v>
      </c>
    </row>
    <row r="10" spans="1:4" x14ac:dyDescent="0.2">
      <c r="A10" t="s">
        <v>182</v>
      </c>
      <c r="B10" t="s">
        <v>183</v>
      </c>
      <c r="D10">
        <v>36</v>
      </c>
    </row>
    <row r="11" spans="1:4" x14ac:dyDescent="0.2">
      <c r="A11" t="s">
        <v>48</v>
      </c>
      <c r="B11" t="s">
        <v>194</v>
      </c>
      <c r="D11">
        <v>180</v>
      </c>
    </row>
    <row r="12" spans="1:4" x14ac:dyDescent="0.2">
      <c r="A12" t="s">
        <v>28</v>
      </c>
      <c r="B12" t="s">
        <v>196</v>
      </c>
      <c r="D12">
        <v>180</v>
      </c>
    </row>
    <row r="13" spans="1:4" x14ac:dyDescent="0.2">
      <c r="A13" t="s">
        <v>185</v>
      </c>
      <c r="B13" t="s">
        <v>186</v>
      </c>
      <c r="D13">
        <v>84</v>
      </c>
    </row>
    <row r="14" spans="1:4" x14ac:dyDescent="0.2">
      <c r="A14" t="s">
        <v>189</v>
      </c>
      <c r="B14" t="s">
        <v>190</v>
      </c>
      <c r="D14">
        <v>48</v>
      </c>
    </row>
    <row r="15" spans="1:4" x14ac:dyDescent="0.2">
      <c r="A15" t="s">
        <v>191</v>
      </c>
      <c r="B15" t="s">
        <v>192</v>
      </c>
      <c r="D15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1-2 </vt:lpstr>
      <vt:lpstr>3-4</vt:lpstr>
      <vt:lpstr>каб</vt:lpstr>
      <vt:lpstr>поясн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Татьяна Васильевна Журкина</cp:lastModifiedBy>
  <cp:lastPrinted>2024-05-31T15:32:11Z</cp:lastPrinted>
  <dcterms:created xsi:type="dcterms:W3CDTF">2005-01-19T10:32:31Z</dcterms:created>
  <dcterms:modified xsi:type="dcterms:W3CDTF">2024-06-25T15:52:08Z</dcterms:modified>
</cp:coreProperties>
</file>