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КЭСИ\2024-2025 уч.год\УП_2024-2025 уч.год\очное_2024-2025\очное_3 курс_2024-2025\09.02.07_ДИС-302_9 кл_2022\"/>
    </mc:Choice>
  </mc:AlternateContent>
  <xr:revisionPtr revIDLastSave="0" documentId="13_ncr:1_{EC4B18A7-A903-4D70-A9C6-14C2E7FA794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-2 " sheetId="4" r:id="rId1"/>
    <sheet name="3-4" sheetId="2" r:id="rId2"/>
    <sheet name="5-6" sheetId="5" r:id="rId3"/>
    <sheet name="Лист1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28" i="4" l="1"/>
  <c r="BG28" i="4"/>
  <c r="BH28" i="4"/>
  <c r="BI28" i="4"/>
  <c r="BJ28" i="4"/>
  <c r="BK28" i="4"/>
  <c r="F46" i="2"/>
  <c r="G75" i="2" l="1"/>
  <c r="G67" i="2"/>
  <c r="G58" i="2"/>
  <c r="F33" i="2"/>
  <c r="F26" i="2"/>
  <c r="G89" i="2"/>
  <c r="F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V89" i="2"/>
  <c r="AW89" i="2"/>
  <c r="AX89" i="2"/>
  <c r="AY89" i="2"/>
  <c r="AZ89" i="2"/>
  <c r="AU89" i="2"/>
  <c r="H90" i="2" l="1"/>
  <c r="G42" i="2" l="1"/>
  <c r="F75" i="2" l="1"/>
  <c r="H80" i="2"/>
  <c r="F69" i="2" l="1"/>
  <c r="F70" i="2"/>
  <c r="L60" i="2"/>
  <c r="L61" i="2"/>
  <c r="L62" i="2"/>
  <c r="L63" i="2"/>
  <c r="L64" i="2"/>
  <c r="L65" i="2"/>
  <c r="L66" i="2"/>
  <c r="L59" i="2"/>
  <c r="F60" i="2"/>
  <c r="F61" i="2"/>
  <c r="F62" i="2"/>
  <c r="L28" i="2" l="1"/>
  <c r="L29" i="2"/>
  <c r="L30" i="2"/>
  <c r="L31" i="2"/>
  <c r="L32" i="2"/>
  <c r="L27" i="2"/>
  <c r="AJ26" i="2"/>
  <c r="AF26" i="2"/>
  <c r="AG26" i="2"/>
  <c r="AH26" i="2"/>
  <c r="AE26" i="2"/>
  <c r="L26" i="2" l="1"/>
  <c r="BA58" i="2"/>
  <c r="BA75" i="2"/>
  <c r="BB58" i="2"/>
  <c r="BC58" i="2"/>
  <c r="BD58" i="2"/>
  <c r="BE58" i="2"/>
  <c r="BF58" i="2"/>
  <c r="BB75" i="2"/>
  <c r="BC75" i="2"/>
  <c r="BD75" i="2"/>
  <c r="BE75" i="2"/>
  <c r="BF75" i="2"/>
  <c r="AU82" i="2"/>
  <c r="AU75" i="2"/>
  <c r="AU58" i="2"/>
  <c r="AN42" i="2"/>
  <c r="AC42" i="2"/>
  <c r="AC33" i="2"/>
  <c r="AC26" i="2"/>
  <c r="AC10" i="2" l="1"/>
  <c r="AO58" i="2"/>
  <c r="BA82" i="2" l="1"/>
  <c r="BA67" i="2"/>
  <c r="BG26" i="2"/>
  <c r="BA26" i="2"/>
  <c r="AU26" i="2"/>
  <c r="AO26" i="2"/>
  <c r="AI26" i="2"/>
  <c r="L83" i="2"/>
  <c r="L77" i="2"/>
  <c r="H84" i="2"/>
  <c r="H85" i="2"/>
  <c r="H86" i="2"/>
  <c r="H88" i="2"/>
  <c r="H91" i="2"/>
  <c r="H89" i="2" s="1"/>
  <c r="H94" i="2"/>
  <c r="H95" i="2"/>
  <c r="H96" i="2"/>
  <c r="H79" i="2"/>
  <c r="L79" i="2"/>
  <c r="L80" i="2"/>
  <c r="L81" i="2"/>
  <c r="L76" i="2"/>
  <c r="H81" i="2"/>
  <c r="H71" i="2"/>
  <c r="H72" i="2"/>
  <c r="H73" i="2"/>
  <c r="L69" i="2"/>
  <c r="L70" i="2"/>
  <c r="L71" i="2"/>
  <c r="L72" i="2"/>
  <c r="L73" i="2"/>
  <c r="L68" i="2"/>
  <c r="L43" i="2"/>
  <c r="H34" i="2"/>
  <c r="L34" i="2"/>
  <c r="H28" i="2"/>
  <c r="H29" i="2"/>
  <c r="H30" i="2"/>
  <c r="H31" i="2"/>
  <c r="H32" i="2"/>
  <c r="H27" i="2"/>
  <c r="L22" i="2"/>
  <c r="H22" i="2"/>
  <c r="H12" i="2"/>
  <c r="L12" i="2"/>
  <c r="AH42" i="2"/>
  <c r="AH33" i="2"/>
  <c r="BA57" i="2" l="1"/>
  <c r="BA10" i="2" s="1"/>
  <c r="H67" i="2"/>
  <c r="H82" i="2"/>
  <c r="H75" i="2"/>
  <c r="AH10" i="2"/>
  <c r="L58" i="2"/>
  <c r="L67" i="2"/>
  <c r="AZ58" i="2"/>
  <c r="AU67" i="2"/>
  <c r="AU57" i="2" s="1"/>
  <c r="I42" i="2"/>
  <c r="J42" i="2"/>
  <c r="K42" i="2"/>
  <c r="L85" i="2"/>
  <c r="L86" i="2"/>
  <c r="L24" i="2"/>
  <c r="H23" i="2"/>
  <c r="L23" i="2"/>
  <c r="BL26" i="2"/>
  <c r="L21" i="2" l="1"/>
  <c r="BG75" i="2"/>
  <c r="AP82" i="2" l="1"/>
  <c r="AQ82" i="2"/>
  <c r="AR82" i="2"/>
  <c r="AS82" i="2"/>
  <c r="AT82" i="2"/>
  <c r="AV82" i="2"/>
  <c r="AW82" i="2"/>
  <c r="AX82" i="2"/>
  <c r="AY82" i="2"/>
  <c r="AZ82" i="2"/>
  <c r="BB82" i="2"/>
  <c r="BC82" i="2"/>
  <c r="BD82" i="2"/>
  <c r="BE82" i="2"/>
  <c r="BF82" i="2"/>
  <c r="BG82" i="2"/>
  <c r="BH82" i="2"/>
  <c r="BI82" i="2"/>
  <c r="BJ82" i="2"/>
  <c r="BK82" i="2"/>
  <c r="BL82" i="2"/>
  <c r="AO82" i="2"/>
  <c r="AP75" i="2"/>
  <c r="AQ75" i="2"/>
  <c r="AR75" i="2"/>
  <c r="AS75" i="2"/>
  <c r="AT75" i="2"/>
  <c r="AV75" i="2"/>
  <c r="AW75" i="2"/>
  <c r="AX75" i="2"/>
  <c r="AY75" i="2"/>
  <c r="AZ75" i="2"/>
  <c r="BH75" i="2"/>
  <c r="BI75" i="2"/>
  <c r="BJ75" i="2"/>
  <c r="BK75" i="2"/>
  <c r="BL75" i="2"/>
  <c r="AO75" i="2"/>
  <c r="AP67" i="2"/>
  <c r="AQ67" i="2"/>
  <c r="AR67" i="2"/>
  <c r="AS67" i="2"/>
  <c r="AT67" i="2"/>
  <c r="AV67" i="2"/>
  <c r="AW67" i="2"/>
  <c r="AX67" i="2"/>
  <c r="AY67" i="2"/>
  <c r="AZ67" i="2"/>
  <c r="BB67" i="2"/>
  <c r="BC67" i="2"/>
  <c r="BD67" i="2"/>
  <c r="BE67" i="2"/>
  <c r="BF67" i="2"/>
  <c r="BG67" i="2"/>
  <c r="BH67" i="2"/>
  <c r="BI67" i="2"/>
  <c r="BJ67" i="2"/>
  <c r="BK67" i="2"/>
  <c r="BL67" i="2"/>
  <c r="AO67" i="2"/>
  <c r="AP58" i="2"/>
  <c r="AQ58" i="2"/>
  <c r="AR58" i="2"/>
  <c r="AS58" i="2"/>
  <c r="AT58" i="2"/>
  <c r="AV58" i="2"/>
  <c r="AW58" i="2"/>
  <c r="AX58" i="2"/>
  <c r="AY58" i="2"/>
  <c r="BG58" i="2"/>
  <c r="BH58" i="2"/>
  <c r="BI58" i="2"/>
  <c r="BJ58" i="2"/>
  <c r="BK58" i="2"/>
  <c r="BL58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AO42" i="2"/>
  <c r="AJ42" i="2"/>
  <c r="AK42" i="2"/>
  <c r="AL42" i="2"/>
  <c r="AM42" i="2"/>
  <c r="AI42" i="2"/>
  <c r="AN26" i="2"/>
  <c r="BI57" i="2" l="1"/>
  <c r="AO57" i="2"/>
  <c r="AZ57" i="2"/>
  <c r="BD57" i="2"/>
  <c r="AV57" i="2"/>
  <c r="BH57" i="2"/>
  <c r="AT57" i="2"/>
  <c r="AY57" i="2"/>
  <c r="AR57" i="2"/>
  <c r="BF57" i="2"/>
  <c r="BE57" i="2"/>
  <c r="BG57" i="2"/>
  <c r="AS57" i="2"/>
  <c r="BL57" i="2"/>
  <c r="BL10" i="2" s="1"/>
  <c r="BK57" i="2"/>
  <c r="AX57" i="2"/>
  <c r="AQ57" i="2"/>
  <c r="BC57" i="2"/>
  <c r="BJ57" i="2"/>
  <c r="AW57" i="2"/>
  <c r="AP57" i="2"/>
  <c r="BB57" i="2"/>
  <c r="H63" i="2"/>
  <c r="H64" i="2"/>
  <c r="H65" i="2"/>
  <c r="L44" i="2"/>
  <c r="L45" i="2"/>
  <c r="L46" i="2"/>
  <c r="L47" i="2"/>
  <c r="L48" i="2"/>
  <c r="L49" i="2"/>
  <c r="L50" i="2"/>
  <c r="L51" i="2"/>
  <c r="L52" i="2"/>
  <c r="L53" i="2"/>
  <c r="L54" i="2"/>
  <c r="H35" i="2"/>
  <c r="H36" i="2"/>
  <c r="L35" i="2"/>
  <c r="L36" i="2"/>
  <c r="H13" i="2"/>
  <c r="H14" i="2"/>
  <c r="H15" i="2"/>
  <c r="H16" i="2"/>
  <c r="H17" i="2"/>
  <c r="H18" i="2"/>
  <c r="H19" i="2"/>
  <c r="H20" i="2"/>
  <c r="L13" i="2"/>
  <c r="L14" i="2"/>
  <c r="L15" i="2"/>
  <c r="L16" i="2"/>
  <c r="L17" i="2"/>
  <c r="L18" i="2"/>
  <c r="L19" i="2"/>
  <c r="L20" i="2"/>
  <c r="F63" i="2" l="1"/>
  <c r="L33" i="2"/>
  <c r="H42" i="2"/>
  <c r="L42" i="2"/>
  <c r="H26" i="2"/>
  <c r="L75" i="2"/>
  <c r="W11" i="2"/>
  <c r="H24" i="2"/>
  <c r="H21" i="2" s="1"/>
  <c r="H11" i="2" s="1"/>
  <c r="Y11" i="2"/>
  <c r="Z11" i="2"/>
  <c r="AB11" i="2"/>
  <c r="Q11" i="2"/>
  <c r="V11" i="2"/>
  <c r="I21" i="2"/>
  <c r="I11" i="2" s="1"/>
  <c r="J21" i="2"/>
  <c r="J11" i="2" s="1"/>
  <c r="K21" i="2"/>
  <c r="K11" i="2" s="1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AB10" i="2" l="1"/>
  <c r="V10" i="2"/>
  <c r="F24" i="2"/>
  <c r="Z10" i="2"/>
  <c r="Q10" i="2"/>
  <c r="W10" i="2"/>
  <c r="W9" i="2"/>
  <c r="Y10" i="2"/>
  <c r="I75" i="2"/>
  <c r="J75" i="2"/>
  <c r="K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BB37" i="2"/>
  <c r="BD37" i="2"/>
  <c r="BF37" i="2"/>
  <c r="BH37" i="2"/>
  <c r="BJ37" i="2"/>
  <c r="BL37" i="2"/>
  <c r="BA33" i="2"/>
  <c r="BB33" i="2"/>
  <c r="BC33" i="2"/>
  <c r="BD33" i="2"/>
  <c r="BE33" i="2"/>
  <c r="BF33" i="2"/>
  <c r="BG33" i="2"/>
  <c r="BG10" i="2" s="1"/>
  <c r="BG9" i="2" s="1"/>
  <c r="BH33" i="2"/>
  <c r="BI33" i="2"/>
  <c r="BJ33" i="2"/>
  <c r="BK33" i="2"/>
  <c r="BL33" i="2"/>
  <c r="BK37" i="2"/>
  <c r="BI37" i="2"/>
  <c r="BG37" i="2"/>
  <c r="BE37" i="2"/>
  <c r="BC37" i="2"/>
  <c r="BA37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BK26" i="2" l="1"/>
  <c r="BI26" i="2"/>
  <c r="BE26" i="2"/>
  <c r="BC26" i="2"/>
  <c r="BA9" i="2"/>
  <c r="BJ26" i="2"/>
  <c r="BF26" i="2"/>
  <c r="BF10" i="2" s="1"/>
  <c r="BD26" i="2"/>
  <c r="BD10" i="2" s="1"/>
  <c r="BB26" i="2"/>
  <c r="BB10" i="2" s="1"/>
  <c r="BC10" i="2" l="1"/>
  <c r="BC9" i="2" s="1"/>
  <c r="BE10" i="2"/>
  <c r="BE9" i="2" s="1"/>
  <c r="BH10" i="2"/>
  <c r="BH9" i="2" s="1"/>
  <c r="BB9" i="2"/>
  <c r="BJ10" i="2"/>
  <c r="BJ9" i="2" s="1"/>
  <c r="BI10" i="2"/>
  <c r="BI9" i="2" s="1"/>
  <c r="BD9" i="2"/>
  <c r="BK10" i="2"/>
  <c r="BK9" i="2" s="1"/>
  <c r="BF9" i="2"/>
  <c r="BL9" i="2"/>
  <c r="I33" i="2"/>
  <c r="J33" i="2"/>
  <c r="K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D33" i="2"/>
  <c r="AE33" i="2"/>
  <c r="AF33" i="2"/>
  <c r="AG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U10" i="2" s="1"/>
  <c r="AV33" i="2"/>
  <c r="AW33" i="2"/>
  <c r="AX33" i="2"/>
  <c r="AY33" i="2"/>
  <c r="AZ33" i="2"/>
  <c r="H66" i="2" l="1"/>
  <c r="H58" i="2" s="1"/>
  <c r="H57" i="2" s="1"/>
  <c r="AI58" i="2"/>
  <c r="L11" i="2" l="1"/>
  <c r="R88" i="2" l="1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J88" i="2"/>
  <c r="AK88" i="2"/>
  <c r="AL88" i="2"/>
  <c r="AN88" i="2"/>
  <c r="F83" i="2"/>
  <c r="F85" i="2"/>
  <c r="F86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I67" i="2"/>
  <c r="J67" i="2"/>
  <c r="K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F66" i="2"/>
  <c r="I58" i="2"/>
  <c r="K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J58" i="2"/>
  <c r="AK58" i="2"/>
  <c r="AL58" i="2"/>
  <c r="AM58" i="2"/>
  <c r="AN58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D42" i="2"/>
  <c r="AE42" i="2"/>
  <c r="AF42" i="2"/>
  <c r="AG42" i="2"/>
  <c r="AG10" i="2" s="1"/>
  <c r="I26" i="2"/>
  <c r="J26" i="2"/>
  <c r="K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D26" i="2"/>
  <c r="AK26" i="2"/>
  <c r="AL26" i="2"/>
  <c r="AM26" i="2"/>
  <c r="AO10" i="2"/>
  <c r="AP26" i="2"/>
  <c r="AQ26" i="2"/>
  <c r="AR26" i="2"/>
  <c r="AS26" i="2"/>
  <c r="AT26" i="2"/>
  <c r="AT10" i="2" s="1"/>
  <c r="AV26" i="2"/>
  <c r="AW26" i="2"/>
  <c r="AX26" i="2"/>
  <c r="AY26" i="2"/>
  <c r="AZ26" i="2"/>
  <c r="AZ10" i="2" s="1"/>
  <c r="M11" i="2"/>
  <c r="N11" i="2"/>
  <c r="O11" i="2"/>
  <c r="P11" i="2"/>
  <c r="R11" i="2"/>
  <c r="S11" i="2"/>
  <c r="T11" i="2"/>
  <c r="U11" i="2"/>
  <c r="X11" i="2"/>
  <c r="AA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G11" i="2"/>
  <c r="F43" i="2"/>
  <c r="H37" i="2"/>
  <c r="L37" i="2"/>
  <c r="F12" i="2"/>
  <c r="F68" i="2"/>
  <c r="F59" i="2"/>
  <c r="F13" i="2"/>
  <c r="F14" i="2"/>
  <c r="F16" i="2"/>
  <c r="F17" i="2"/>
  <c r="F18" i="2"/>
  <c r="F19" i="2"/>
  <c r="F20" i="2"/>
  <c r="F21" i="2"/>
  <c r="F22" i="2"/>
  <c r="F23" i="2"/>
  <c r="AJ57" i="2" l="1"/>
  <c r="AM57" i="2"/>
  <c r="AN57" i="2"/>
  <c r="AN10" i="2" s="1"/>
  <c r="AK57" i="2"/>
  <c r="AL57" i="2"/>
  <c r="AI57" i="2"/>
  <c r="AI10" i="2" s="1"/>
  <c r="AD10" i="2"/>
  <c r="AV10" i="2"/>
  <c r="AF10" i="2"/>
  <c r="AE10" i="2"/>
  <c r="S57" i="2"/>
  <c r="AX10" i="2"/>
  <c r="AR10" i="2"/>
  <c r="AP10" i="2"/>
  <c r="AY10" i="2"/>
  <c r="AW10" i="2"/>
  <c r="AS10" i="2"/>
  <c r="AQ10" i="2"/>
  <c r="O57" i="2"/>
  <c r="O10" i="2" s="1"/>
  <c r="O9" i="2" s="1"/>
  <c r="F37" i="2"/>
  <c r="H33" i="2"/>
  <c r="H10" i="2" s="1"/>
  <c r="AZ9" i="2"/>
  <c r="AH57" i="2"/>
  <c r="AJ10" i="2"/>
  <c r="F15" i="2"/>
  <c r="F11" i="2" s="1"/>
  <c r="U57" i="2"/>
  <c r="T57" i="2"/>
  <c r="Q57" i="2"/>
  <c r="R57" i="2"/>
  <c r="M57" i="2"/>
  <c r="M10" i="2" s="1"/>
  <c r="M9" i="2" s="1"/>
  <c r="N57" i="2"/>
  <c r="N10" i="2" s="1"/>
  <c r="N9" i="2" s="1"/>
  <c r="I57" i="2"/>
  <c r="I10" i="2" s="1"/>
  <c r="I9" i="2" s="1"/>
  <c r="P57" i="2"/>
  <c r="J57" i="2"/>
  <c r="J10" i="2" s="1"/>
  <c r="J9" i="2" s="1"/>
  <c r="K57" i="2"/>
  <c r="K10" i="2" s="1"/>
  <c r="K9" i="2" s="1"/>
  <c r="F45" i="2" l="1"/>
  <c r="F47" i="2"/>
  <c r="F48" i="2"/>
  <c r="F49" i="2"/>
  <c r="F50" i="2"/>
  <c r="F51" i="2"/>
  <c r="F52" i="2"/>
  <c r="F53" i="2"/>
  <c r="F54" i="2"/>
  <c r="F64" i="2"/>
  <c r="F65" i="2"/>
  <c r="F73" i="2"/>
  <c r="G82" i="2"/>
  <c r="AF57" i="2"/>
  <c r="G26" i="2"/>
  <c r="F58" i="2" l="1"/>
  <c r="G57" i="2"/>
  <c r="G10" i="2" s="1"/>
  <c r="G9" i="2" s="1"/>
  <c r="F82" i="2"/>
  <c r="L57" i="2"/>
  <c r="F72" i="2"/>
  <c r="F67" i="2" s="1"/>
  <c r="F44" i="2"/>
  <c r="F42" i="2" s="1"/>
  <c r="Y57" i="2"/>
  <c r="Y9" i="2" s="1"/>
  <c r="AT9" i="2"/>
  <c r="AA57" i="2"/>
  <c r="AA10" i="2" s="1"/>
  <c r="AA9" i="2" s="1"/>
  <c r="W57" i="2"/>
  <c r="AP9" i="2"/>
  <c r="AR9" i="2"/>
  <c r="AS9" i="2"/>
  <c r="AL10" i="2"/>
  <c r="AL9" i="2" s="1"/>
  <c r="AJ9" i="2"/>
  <c r="AC57" i="2"/>
  <c r="AH9" i="2"/>
  <c r="AK10" i="2"/>
  <c r="AK9" i="2" s="1"/>
  <c r="AG57" i="2"/>
  <c r="AG9" i="2" s="1"/>
  <c r="U10" i="2"/>
  <c r="U9" i="2" s="1"/>
  <c r="AB57" i="2"/>
  <c r="X57" i="2"/>
  <c r="X10" i="2" s="1"/>
  <c r="X9" i="2" s="1"/>
  <c r="P10" i="2"/>
  <c r="P9" i="2" s="1"/>
  <c r="AV9" i="2"/>
  <c r="Q9" i="2"/>
  <c r="AQ9" i="2"/>
  <c r="AM10" i="2"/>
  <c r="AM9" i="2" s="1"/>
  <c r="AF9" i="2"/>
  <c r="T10" i="2"/>
  <c r="T9" i="2" s="1"/>
  <c r="AN9" i="2"/>
  <c r="AE57" i="2"/>
  <c r="AE9" i="2" s="1"/>
  <c r="S10" i="2"/>
  <c r="S9" i="2" s="1"/>
  <c r="AX9" i="2"/>
  <c r="AD57" i="2"/>
  <c r="AD9" i="2" s="1"/>
  <c r="Z57" i="2"/>
  <c r="Z9" i="2" s="1"/>
  <c r="V57" i="2"/>
  <c r="R10" i="2"/>
  <c r="R9" i="2" s="1"/>
  <c r="BE27" i="4"/>
  <c r="BL25" i="4"/>
  <c r="BL27" i="4" l="1"/>
  <c r="BL28" i="4" s="1"/>
  <c r="BE28" i="4"/>
  <c r="F57" i="2"/>
  <c r="F10" i="2" s="1"/>
  <c r="L10" i="2"/>
  <c r="L9" i="2" s="1"/>
  <c r="AC9" i="2"/>
  <c r="V9" i="2" l="1"/>
  <c r="AB9" i="2"/>
  <c r="H9" i="2" l="1"/>
  <c r="F9" i="2" l="1"/>
  <c r="AI9" i="2"/>
</calcChain>
</file>

<file path=xl/sharedStrings.xml><?xml version="1.0" encoding="utf-8"?>
<sst xmlns="http://schemas.openxmlformats.org/spreadsheetml/2006/main" count="470" uniqueCount="308">
  <si>
    <t>Индекс</t>
  </si>
  <si>
    <t>1 курс</t>
  </si>
  <si>
    <t>Всего</t>
  </si>
  <si>
    <t>экзаменов</t>
  </si>
  <si>
    <t>зачетов</t>
  </si>
  <si>
    <t xml:space="preserve">экзамен </t>
  </si>
  <si>
    <t>Формы промежуточной аттестации  (семестр)</t>
  </si>
  <si>
    <t xml:space="preserve">* не входит в общее количество зачетов и экзаменов </t>
  </si>
  <si>
    <t>ГИА.00</t>
  </si>
  <si>
    <t>Иностранный язык</t>
  </si>
  <si>
    <t>История</t>
  </si>
  <si>
    <t>ОП.00</t>
  </si>
  <si>
    <t>ОП.01</t>
  </si>
  <si>
    <t>ОП.02</t>
  </si>
  <si>
    <t>ОП.03</t>
  </si>
  <si>
    <t>ОП.04</t>
  </si>
  <si>
    <t>Безопасность жизнедеятельности</t>
  </si>
  <si>
    <t>П.00</t>
  </si>
  <si>
    <t>ПМ.01</t>
  </si>
  <si>
    <t>МДК.01.01</t>
  </si>
  <si>
    <t>ПМ.02</t>
  </si>
  <si>
    <t>МДК.02.01</t>
  </si>
  <si>
    <t>Физическая культура</t>
  </si>
  <si>
    <t>Учебная практика</t>
  </si>
  <si>
    <t>ПП.01</t>
  </si>
  <si>
    <t>МДК.02.02</t>
  </si>
  <si>
    <t>ПП.02</t>
  </si>
  <si>
    <t xml:space="preserve"> дисциплин и МДК </t>
  </si>
  <si>
    <t>учебной практики</t>
  </si>
  <si>
    <t>Производственная практика (по профилю специальности)</t>
  </si>
  <si>
    <t xml:space="preserve">Производственная практика (преддипломная) </t>
  </si>
  <si>
    <t>Основы безопасности жизнедеятельности</t>
  </si>
  <si>
    <t>ОП.05</t>
  </si>
  <si>
    <t>ОП.06</t>
  </si>
  <si>
    <t>ОП.07</t>
  </si>
  <si>
    <t>ОП.08</t>
  </si>
  <si>
    <t>ОП.09</t>
  </si>
  <si>
    <t>производственной практики/ преддипломной практики</t>
  </si>
  <si>
    <t>ОУД.01</t>
  </si>
  <si>
    <t>ОУД.02</t>
  </si>
  <si>
    <t>ОУД.07</t>
  </si>
  <si>
    <t>ОУД.03</t>
  </si>
  <si>
    <t>ОУД.06</t>
  </si>
  <si>
    <t>Наименование учебных  циклов,разделов,  учебных дисциплин, профессиональных модулей, МДК, практик</t>
  </si>
  <si>
    <t>дифференцирован
ный зачет</t>
  </si>
  <si>
    <t>ОП.10</t>
  </si>
  <si>
    <t>ОП.11</t>
  </si>
  <si>
    <t>УП.01</t>
  </si>
  <si>
    <t>УП.02</t>
  </si>
  <si>
    <t>Литература</t>
  </si>
  <si>
    <t xml:space="preserve">Государственная итоговая аттестация </t>
  </si>
  <si>
    <t>контрольных работ</t>
  </si>
  <si>
    <t>ОУД.00</t>
  </si>
  <si>
    <t>Распределение обязательной 
учебной нагрузки по курсам и семестрам
(час. в семестр)</t>
  </si>
  <si>
    <t>Нагрузка во взаимодействии с преподавателем</t>
  </si>
  <si>
    <t>ВСЕГО</t>
  </si>
  <si>
    <t>всего во взаимодействии с преподавателем</t>
  </si>
  <si>
    <t>Самостоятельная работа</t>
  </si>
  <si>
    <t>Консультации</t>
  </si>
  <si>
    <t>Объем образовательной программы</t>
  </si>
  <si>
    <t xml:space="preserve">ПДП.00 </t>
  </si>
  <si>
    <t>Общеобразовательный  цикл</t>
  </si>
  <si>
    <t>Общепрофессиональный цикл</t>
  </si>
  <si>
    <t>Профессиональный  цикл</t>
  </si>
  <si>
    <t>в т.ч.</t>
  </si>
  <si>
    <t>учебные занятия</t>
  </si>
  <si>
    <t xml:space="preserve">практика </t>
  </si>
  <si>
    <t xml:space="preserve">в т.ч. </t>
  </si>
  <si>
    <t>консультации</t>
  </si>
  <si>
    <t xml:space="preserve">лабораторно-практические занятия </t>
  </si>
  <si>
    <t>курсовое проектирование , индивидуальный учебный проект</t>
  </si>
  <si>
    <t xml:space="preserve">теоретические занятия </t>
  </si>
  <si>
    <t xml:space="preserve">Экзамены </t>
  </si>
  <si>
    <t>Объем образовательной пограммы  по  циклам (академических часов)</t>
  </si>
  <si>
    <t xml:space="preserve">Всего </t>
  </si>
  <si>
    <t xml:space="preserve">Самостоятельная работа </t>
  </si>
  <si>
    <t xml:space="preserve">Прак тика </t>
  </si>
  <si>
    <t xml:space="preserve">Учебные занятия </t>
  </si>
  <si>
    <t xml:space="preserve">3 курс </t>
  </si>
  <si>
    <t xml:space="preserve">2 курс </t>
  </si>
  <si>
    <t>1 семестр 17 нед.</t>
  </si>
  <si>
    <t>2 семестр 22 нед.+ 2 нед.</t>
  </si>
  <si>
    <t>Объем часов по учебным циклам</t>
  </si>
  <si>
    <t>Контрольная работа за семестр</t>
  </si>
  <si>
    <t>экзамены /государственная итоговая аттестация</t>
  </si>
  <si>
    <t>ГИА.01</t>
  </si>
  <si>
    <t>Подготовка выпускной квалификационной работы</t>
  </si>
  <si>
    <t>ГИА.02</t>
  </si>
  <si>
    <t>Подготовка к демонстрационному экзамену</t>
  </si>
  <si>
    <t>ГИА.03</t>
  </si>
  <si>
    <t>Демонстрационный экзамен</t>
  </si>
  <si>
    <t>ГИА.04</t>
  </si>
  <si>
    <t>Защита выпускной квалификационной работы</t>
  </si>
  <si>
    <t>5*</t>
  </si>
  <si>
    <t>6*</t>
  </si>
  <si>
    <t>3. План учебного процесса</t>
  </si>
  <si>
    <t>4. Учебная практика и производственная практика</t>
  </si>
  <si>
    <t>№
П/П</t>
  </si>
  <si>
    <t>5. Перечень лабораторий, кабинетов, мастерских и др.</t>
  </si>
  <si>
    <t>№ п/п</t>
  </si>
  <si>
    <t>Наименование</t>
  </si>
  <si>
    <t>Семестр</t>
  </si>
  <si>
    <t>Недель</t>
  </si>
  <si>
    <t>УП.00</t>
  </si>
  <si>
    <t xml:space="preserve">Учебная практика </t>
  </si>
  <si>
    <t>4,5,6</t>
  </si>
  <si>
    <t>Кабинеты:</t>
  </si>
  <si>
    <t>ПП.00</t>
  </si>
  <si>
    <t>русского языка и литературы, русского языка и культуры речи</t>
  </si>
  <si>
    <t>иностранного языка</t>
  </si>
  <si>
    <t>ПДП.00</t>
  </si>
  <si>
    <t>Производственная практика (преддипломная)</t>
  </si>
  <si>
    <t>истории и обществознания</t>
  </si>
  <si>
    <t>информатики</t>
  </si>
  <si>
    <t>Всего:</t>
  </si>
  <si>
    <t>естествознания и астрономии</t>
  </si>
  <si>
    <t>географии, экологических основ природопользования</t>
  </si>
  <si>
    <t>экономики организации</t>
  </si>
  <si>
    <t>документационного обеспечения управления</t>
  </si>
  <si>
    <t>финансов, денежного обращения и кредита</t>
  </si>
  <si>
    <t>безопасности жизнедеятельности</t>
  </si>
  <si>
    <t>Лаборатории:</t>
  </si>
  <si>
    <t>1.</t>
  </si>
  <si>
    <t>информационных технологий в профессиональной деятельности</t>
  </si>
  <si>
    <t>2.</t>
  </si>
  <si>
    <t>Спортивный комплекс:</t>
  </si>
  <si>
    <t>спортивный зал</t>
  </si>
  <si>
    <t>стрелковый тир (электронный)</t>
  </si>
  <si>
    <t>Залы:</t>
  </si>
  <si>
    <t>библиотека, читальный зал с выходом в Интернет</t>
  </si>
  <si>
    <t>актовый зал</t>
  </si>
  <si>
    <t>6. Пояснения к учебному плану</t>
  </si>
  <si>
    <t>3. Начало учебных занятий - 1 сентября, окончание - в соответствии с  календарным учебным графиком.</t>
  </si>
  <si>
    <t>4. Продолжительность каникул составляет от 10 до 11 недель в учебном году, в том числе не менее двух недель в зимний период. На последнем курсе предусмотрены каникулы в объеме 2 недель.</t>
  </si>
  <si>
    <t xml:space="preserve">5. Объем образовательной программы - 36 часов в неделю, которая включает в себя объем самостоятельной внеаудиторной работы обучающихся и нагрузку во взаимодействии с преподавателем. </t>
  </si>
  <si>
    <t>7. Самостоятельная работа обучающихся составляет не более 30% от объема часов, отведенных на освоение дисциплины, профессионального модуля, включена в общий объем   и отражается в рабочей программе дисциплины, профессионального модуля.</t>
  </si>
  <si>
    <t xml:space="preserve">9. Итоговая аттестация по дисциплинам общеобразовательного  цикла проводится во 2-ом семестре в форме письменных экзаменов:  ОУД.01 Русский  язык,  ОУД.05 Математика; устных экзаменов: ОУД.06 История, ОУД.10 Обществознание. По остальным дисциплинам - дифференцированный зачет.
</t>
  </si>
  <si>
    <t>13. Учебная дисциплина «Безопасность жизнедеятельности» реализуется в рамках общепрофессионального  цикла в объеме 76  часов. Из них на освоение основ военной службы (для юношей) направлено 70% от общего объема времени, отведенного на указанную дисциплину часов в соответствии с требованиями ФГОС СПО.</t>
  </si>
  <si>
    <t xml:space="preserve">14. Промежуточная аттестация обучающихся осуществляется в рамках освоения программ учебных дисциплин и профессиональных модулей. Объем часов, предусмотренный на проведение промежуточной аттестации, включает часы проведения экзамена, консультаций. Контрольные работы и зачеты проводятся за счет часов отведенных на освоение учебных дисциплин и МДК, практик. Формы промежуточной аттестации указаны в плане учебного процесса. По окончания освоения программ профессиональных модулей в последнем семестре изучения проводится экзамен по модулю, который представляет собой форму независимой оценки результатов обучения с участием работодателей, свидетельствующей об уровне готовности обучающегося к выполнению определенного вида профессиональной деятельности,  по итогам проверки которого выносится решение: «вид профессиональной деятельности освоен/ не освоен. 
</t>
  </si>
  <si>
    <t>19.  В период обучения с юношами проводятся учебные сборы  в соответствии с  пунктом 1 статьи 13 ФЗ «О воинской обязанности и военной службе» от 28.03.1998г. №53-ФЗ.</t>
  </si>
  <si>
    <t>20.  Освоение образовательной программы завершается государственной итоговой аттестацией. Государственная итоговая аттестация проводится в форме защиты выпускной квалификационной работы и демонстрационного экзамена. На Государственную итоговую аттестацию отводится 6 недель.</t>
  </si>
  <si>
    <t>Согласовано:</t>
  </si>
  <si>
    <t xml:space="preserve">Председатели цикловых комиссий:   </t>
  </si>
  <si>
    <t>2. Специальность 38.02.07 Банковское дело  относится к группе специальностей   УГС- 38.00.00. Экономика и управление социально - экономического профиля.</t>
  </si>
  <si>
    <t>18.Учебная практика и производственная практика (по профилю специальности) реализуется в рамках профессиональных модулей по каждому из видов профессиональной деятельности и может проводиться как в несколько периодов, так,  и рассредоточено, чередуясь с теоретическими занятиями. Учебная практика в объеме 4 недель реализуется в рамках профессиональных модулей: ПМ.01 Ведение расчетных операций – 2 нед. (5 семестр), ПМ.02  Осуществление кредитных операций – 1 нед. (6 семестр), ПМ.03 Выполнение работ по одной или нескольким профессиям рабочих, должностям служащих 1 нед. (4 семестр). Производственная практика (по профилю специальности) в объеме 6 недель реализуется по каждому из видов профессиональной деятельности, предусмотренных ФГОС СПО по специальности: ПМ.01 Ведение расчетных операций – 2 нед. (5 семестр), ПМ.02 Осуществление кредитных операций – 2 нед. (6 семестр), ПМ.03 Выполнение работ по одной или нескольким профессиям рабочих, должностям служащих 2 нед. (4 семестр). Производственная практика (преддипломная) проводится концентрированно в 6 семестре в объеме 4 недель.</t>
  </si>
  <si>
    <t xml:space="preserve">6. В учебных циклах основной образовательной программы выделены часы работы обучающихся во взаимодействии с преподавателем по видам учебных занятий (учебные занятия, практическое занятие, консультации и др.), практики (в профессиональном цикле) и самостоятельной работы обучающихся.
</t>
  </si>
  <si>
    <t>гуманитарных и социально-экономических дисциплин</t>
  </si>
  <si>
    <t>основ предпринимательской деятельности, менеджмента</t>
  </si>
  <si>
    <t>бухгалтерского учета</t>
  </si>
  <si>
    <t>математических дисциплин, денежной и банковской статистики</t>
  </si>
  <si>
    <t>учебный банк</t>
  </si>
  <si>
    <t>16. Согласно Перечня профессий, должностей служащих, рекомендованных к освоению в рамках программы подготовки специалистов среднего звена по специальности 38.02.07 Банковское дело, предусмотрено освоение профессии 23548 Контролер (Сберегательного банка)/ 20002 Агент банка</t>
  </si>
  <si>
    <t>17.Выполнение курсовых работ является видом учебной работы и выполняется по профессиональным модулям ПМ.01 Ведение расчетных операций, ПМ.02 Осуществление кредитных операций по 15 часов каждая.</t>
  </si>
  <si>
    <t>анализа финансово-хозяйственной деятельности, 
банковского регулирования и надзора</t>
  </si>
  <si>
    <t xml:space="preserve">10. Объем времени, отведенный на вариативную часть основной образовательной программы, определен в соответствии с требованиями ФГОС СПО (не менее 30% от общего объема времени, отведенного на освоение программы - 828 часов), с учетом рекомендаций примерной основной образовательной программы по специальности 38.02.07 Банковское дело, требований профессиональных стандартов и использован на увеличение объема учебных циклов образовательной программы: ОГСЭ.00 – 160 час.; ЕН.00 – 20 часов.; П.00 – 446 час; ПМ.00 – 202 час. В дополнение к перечню дисциплин примерной основной образовательной программы по согласованию с работодателем введены дисциплины введены дополнительные дисциплины  с целью углубления подготовки, получения дополнительных знаний, умений и компетенций.
</t>
  </si>
  <si>
    <t xml:space="preserve">1. Учебный план разработан в соответствии с Федеральным государственным образовательным  стандартом среднего профессионального образования  по специальности 38.02.07 Банковское дело, утвержденным Приказом Министерства образования и науки Российской Федерации от 5 февраля  2018г. №67 (зарегистрирован в Минюсте России 26 февраля 2018г. № 50135; Приказом Министерства образования и науки РФ от 17 мая 2012 г. № 413 "Об утверждении федерального государственного образовательного стандарта среднего общего образования" с изменениями и дополнениями, Приказом Минобрнауки России от 14 июня 2013 г. № 464 «Об утверждении Порядка организации и осуществления образовательной деятельности по образовательным программам среднего профессионального образования» с изменениями и дополнениями; Приказом Минобрнауки России от 16 августа 2013 г. N 968 «Об утверждении Порядка проведения государственной итоговой аттестации по образовательным программам среднего профессионального образования» с изменениями и дополнениями; Приказом Минобрнауки России от 18 апреля 2013 г. N 291 «Об утверждении Положения о практике обучающихся, осваивающих основные профессиональные образовательные программы среднего профессионального образования» с изменениями; Профессиональным стандартом «Специалист по работе с залогами», утвержден приказом Министерства труда и социальной защиты Российской Федерации от 19 марта 2015 г. № 176н; Профессиональным стандартом «Специалист по ипотечному кредитованию», утвержден приказом Министерства труда и социальной защиты Российской Федерации от 19 марта 2015 г. № 171н; Профессиональным стандартом «Специалист по потребительскому кредитованию», утвержден приказом Министерства труда и социальной защиты Российской Федерации от 14 ноября 2016 г. № 646н; Профессиональным стандартом «Специалист по работе с просроченной задолженностью», утвержден приказом Министерства труда и социальной защиты Российской Федерации от 7 сентября 2015 г. № 590н; Профессиональным стандартом «Специалист по платежным услугам», утвержден приказом Министерства труда и социальной защиты Российской Федерации от 14 ноября 2016 г. № 645н; Профессиональным стандартом «Специалист по операциям на межбанковском рынке», утвержден приказом Министерства труда и социальной защиты Российской Федерации от 14 ноября 2016 г. № 643н; с учетом соответствующей примерной основной образовательной программы по специальности 38.02.07 Банковское дело (Регистрационный номер 38.02.07-190129, протокол решения ФУМО о включении ПООП в реестр № 1 от 10 января 2019 г.).
</t>
  </si>
  <si>
    <r>
      <t>8. Федеральный государственный образовательный стандарт среднего общего образования реализуется в рамках основной образовательной программы  на 1-ом курсе обучения.   Общеобразовательные дисциплины ОУД.00  изучаются  с учетом профиля (социально-экономического).</t>
    </r>
    <r>
      <rPr>
        <sz val="12"/>
        <rFont val="Calibri"/>
        <family val="2"/>
        <charset val="204"/>
      </rPr>
      <t xml:space="preserve"> </t>
    </r>
    <r>
      <rPr>
        <sz val="12"/>
        <rFont val="Times New Roman"/>
        <family val="1"/>
        <charset val="204"/>
      </rPr>
      <t>Дисциплина "Индивидуальный проект", включенная в общеобразовательный цикл, как особая форма организации образовательной деятельности обучающихся,  направлена на формирование метапредметных результатов освоения основной образовательной программы и реализуется в рамках дисциплин ОУД:09 Информатика и ДОУД.01 Экономика. Тематика проектов разрабатывается цикловыми комиссиями общеобразовательных дисциплин с учетом профиля обучения и осваиваемой специальности.</t>
    </r>
  </si>
  <si>
    <r>
      <t xml:space="preserve">11. Предусмотрено включение в образовательную программу адаптационных дисциплин ОГСЭ.04 Адаптивная физическая культура, ОГСЭ.06. Коммуникативный практикум, ОП.11. </t>
    </r>
    <r>
      <rPr>
        <sz val="12"/>
        <color rgb="FF000000"/>
        <rFont val="Times New Roman"/>
        <family val="1"/>
        <charset val="204"/>
      </rPr>
      <t>Адаптивные информационные технологии в профессиональной деятельности,</t>
    </r>
    <r>
      <rPr>
        <sz val="12"/>
        <rFont val="Times New Roman"/>
        <family val="1"/>
        <charset val="204"/>
      </rPr>
      <t xml:space="preserve"> обеспечивающих коррекцию нарушений развития и социальную адаптацию обучающихся инвалидов и лиц с ограниченными возможностями здоровья.</t>
    </r>
  </si>
  <si>
    <t xml:space="preserve">12. Учебная дисциплина «Физическая культура» реализуется как в соответствии с требованиями ФГОС СОО в рамках общеобразовательного учебного цикла – 117 часов, так и в соответствии с требованиями ФГОС СПО в рамках общего гуманитарного и социально-экономического  цикла а объеме 160 час. Для обучающихся инвалидов и лиц с ограниченными возможностями здоровья устанавливается особый порядок освоения дисциплины с учетом состояния их здоровья. </t>
  </si>
  <si>
    <t>15. Количество экзаменов в процессе промежуточной аттестации обучающихся не превышает 6 экзаменов в учебном году, а количество зачетов - 10 (в указанное количество не входят зачеты по физической культуре).</t>
  </si>
  <si>
    <t>в форме практической подготовки</t>
  </si>
  <si>
    <t>ОУД.05</t>
  </si>
  <si>
    <t xml:space="preserve">     </t>
  </si>
  <si>
    <t xml:space="preserve">Учебный план
</t>
  </si>
  <si>
    <t>Автономная некоммерческая организация профессионального образования "Колледж экономики, страхового дела и информационных технологий КЭСИ"</t>
  </si>
  <si>
    <t xml:space="preserve">по специальности  среднего профессионального образования </t>
  </si>
  <si>
    <t>УТВЕРЖДАЮ:</t>
  </si>
  <si>
    <t>Форма обучения - очная</t>
  </si>
  <si>
    <t>на базе основного общего образования</t>
  </si>
  <si>
    <t>1. Календарный учебный график</t>
  </si>
  <si>
    <t xml:space="preserve">2. Сводные данные по бюджету времени (в неделях)
</t>
  </si>
  <si>
    <t>Курсы</t>
  </si>
  <si>
    <t>Сентябрь</t>
  </si>
  <si>
    <t>29.IX - 5.X</t>
  </si>
  <si>
    <t>Октябрь</t>
  </si>
  <si>
    <t>27.X - 2.XI</t>
  </si>
  <si>
    <t>Ноябрь</t>
  </si>
  <si>
    <t>Декабрь</t>
  </si>
  <si>
    <t>29.XII - 4.I</t>
  </si>
  <si>
    <t>Январь</t>
  </si>
  <si>
    <t>26.I - 1.II</t>
  </si>
  <si>
    <t>Февраль</t>
  </si>
  <si>
    <t>23.II - 1.III</t>
  </si>
  <si>
    <t>Март</t>
  </si>
  <si>
    <t>30.III - 5.IV</t>
  </si>
  <si>
    <t>Апрель</t>
  </si>
  <si>
    <t>27.IV - 3.V</t>
  </si>
  <si>
    <t>Май</t>
  </si>
  <si>
    <t>Июнь</t>
  </si>
  <si>
    <t>29.VI - 5.VII</t>
  </si>
  <si>
    <t>Июль</t>
  </si>
  <si>
    <t>27.VII - 2.VIII</t>
  </si>
  <si>
    <t>Август</t>
  </si>
  <si>
    <t>Обучение по дисциплинаам и междисциплинарным курсам</t>
  </si>
  <si>
    <t>Производственная практика</t>
  </si>
  <si>
    <t xml:space="preserve">промежуточная аттестация </t>
  </si>
  <si>
    <t>Каникулы</t>
  </si>
  <si>
    <t>по профилю специальности</t>
  </si>
  <si>
    <t xml:space="preserve">преддипломная </t>
  </si>
  <si>
    <t>═</t>
  </si>
  <si>
    <t>: :</t>
  </si>
  <si>
    <t>::</t>
  </si>
  <si>
    <t>х</t>
  </si>
  <si>
    <t>∆</t>
  </si>
  <si>
    <t>III</t>
  </si>
  <si>
    <t>Итого</t>
  </si>
  <si>
    <t>Обозначения:</t>
  </si>
  <si>
    <t>Теоретическое обучение</t>
  </si>
  <si>
    <t>Практика учебная</t>
  </si>
  <si>
    <t xml:space="preserve">Производственная практика              (по профилю специальности) </t>
  </si>
  <si>
    <t>Промежуточная аттестация</t>
  </si>
  <si>
    <t>Государственная итоговая аттестация</t>
  </si>
  <si>
    <t>Подготовка к государствен
ной итоговой аттестации</t>
  </si>
  <si>
    <t>:  :</t>
  </si>
  <si>
    <t>Правовое обеспечение профессиональной деятельности</t>
  </si>
  <si>
    <t>ПМ.04</t>
  </si>
  <si>
    <t>МДК.04.01</t>
  </si>
  <si>
    <t>ПП.04</t>
  </si>
  <si>
    <t>Экзамен по модулю</t>
  </si>
  <si>
    <t>Иностранный язык в профессиональной деятельности</t>
  </si>
  <si>
    <t xml:space="preserve">Производственная практика </t>
  </si>
  <si>
    <t>Физика</t>
  </si>
  <si>
    <t>ОУД.08</t>
  </si>
  <si>
    <t>Социально- гуманитарный  цикл</t>
  </si>
  <si>
    <t>МДК.04.02</t>
  </si>
  <si>
    <t xml:space="preserve">09.02.07 Информационные системы и программирование </t>
  </si>
  <si>
    <t>Русский язык</t>
  </si>
  <si>
    <t>Математика</t>
  </si>
  <si>
    <t>Астрономия</t>
  </si>
  <si>
    <t>ОГСЭ.00</t>
  </si>
  <si>
    <t>ОГСЭ.01</t>
  </si>
  <si>
    <t>ОГСЭ.02</t>
  </si>
  <si>
    <t>ОГСЭ.03</t>
  </si>
  <si>
    <t>ОГСЭ.04</t>
  </si>
  <si>
    <t>Основы философии</t>
  </si>
  <si>
    <t>Психология общения</t>
  </si>
  <si>
    <t>ОГСЭ.05</t>
  </si>
  <si>
    <t>ЕН.00</t>
  </si>
  <si>
    <t>Математический и общий естественнонаучный цикл</t>
  </si>
  <si>
    <t>ЕН.01</t>
  </si>
  <si>
    <t>Элементы высшей математики</t>
  </si>
  <si>
    <t>ЕН.02</t>
  </si>
  <si>
    <t>Дискретная математика с элементами математической логики</t>
  </si>
  <si>
    <t>ЕН.03</t>
  </si>
  <si>
    <t>Теория вероятностей и математическая статистика</t>
  </si>
  <si>
    <t>ОП.12</t>
  </si>
  <si>
    <t>Операционные системы и среды</t>
  </si>
  <si>
    <t>Архитектура аппаратных средств</t>
  </si>
  <si>
    <t>Информационные технологии</t>
  </si>
  <si>
    <t>Основы алгоритмизации и программирования</t>
  </si>
  <si>
    <t>Экономика отрасли</t>
  </si>
  <si>
    <t>Основы проектирования баз данных</t>
  </si>
  <si>
    <t>Стандартизация, сертификация и техническое документоведение</t>
  </si>
  <si>
    <t>Численные методы</t>
  </si>
  <si>
    <t>Компьютерные сети</t>
  </si>
  <si>
    <t>Менеджмент в профессиональной деятельности</t>
  </si>
  <si>
    <t>Разработка программных модулей</t>
  </si>
  <si>
    <t>Поддержка и тестирование программных модулей</t>
  </si>
  <si>
    <t>Разработка мобильных приложений</t>
  </si>
  <si>
    <t>Системное программирование</t>
  </si>
  <si>
    <t>Разработка модулей программного обеспечения для компьютерных систем</t>
  </si>
  <si>
    <t>Осуществление интеграции программных модулей</t>
  </si>
  <si>
    <t>Технология разработки программного обеспечения</t>
  </si>
  <si>
    <t>Инструментальные средства разработки программного обеспечения</t>
  </si>
  <si>
    <t>МДК.02.03</t>
  </si>
  <si>
    <t>Математическое моделирование</t>
  </si>
  <si>
    <t>Сопровождение и обслуживание программного обеспечения компьютерных систем</t>
  </si>
  <si>
    <t>Внедрение и поддержка компьютерных систем</t>
  </si>
  <si>
    <t>Обеспечение качества функционирования компьютерных систем</t>
  </si>
  <si>
    <t>УП.04</t>
  </si>
  <si>
    <t>ПМ.11</t>
  </si>
  <si>
    <t>Разработка, администрирование и защита баз данных</t>
  </si>
  <si>
    <t>МДК.11.01</t>
  </si>
  <si>
    <t>Технология разработки и защиты баз данных</t>
  </si>
  <si>
    <t>УП.11</t>
  </si>
  <si>
    <t>ПП.11</t>
  </si>
  <si>
    <t>4 курс</t>
  </si>
  <si>
    <t>Срок получения СПО по ППССЗ -3 года 10 месяцев</t>
  </si>
  <si>
    <t>ОУД.04</t>
  </si>
  <si>
    <t>ОУД.09</t>
  </si>
  <si>
    <t>Профильные дисциплины</t>
  </si>
  <si>
    <t>ОДП.00</t>
  </si>
  <si>
    <t>ОДП.01</t>
  </si>
  <si>
    <t>ОДП.02</t>
  </si>
  <si>
    <t>ОДП.03</t>
  </si>
  <si>
    <t>Информатика (включая индивидуальный проект)</t>
  </si>
  <si>
    <t>Обществознание</t>
  </si>
  <si>
    <t>Химия</t>
  </si>
  <si>
    <t>ОГСЭ.06</t>
  </si>
  <si>
    <t>Русский язык и культура речи</t>
  </si>
  <si>
    <t>Квалификация -   Программист</t>
  </si>
  <si>
    <t>7 семестр 10нед+3 нед.+4 нед+1 нед</t>
  </si>
  <si>
    <t>8 семестр 7нед.+6нед.+1 нед+10 нед.</t>
  </si>
  <si>
    <t xml:space="preserve">Директор  АНО ПО "КЭСИ"     ___________  О.В. Приходько   "___"________2022 г.     </t>
  </si>
  <si>
    <t>МДК.01.02</t>
  </si>
  <si>
    <t>МДК.01.03</t>
  </si>
  <si>
    <t>МДК.01.04</t>
  </si>
  <si>
    <t>4,6,8</t>
  </si>
  <si>
    <t>3 семестр  16 нед.+1 нед</t>
  </si>
  <si>
    <t>4 семестр 20 нед..+3нед+1 нед</t>
  </si>
  <si>
    <t>5 семестр 13нед..+3нед+1нед</t>
  </si>
  <si>
    <t>6 семестр20 нед+ 2нед.+2 нед.+1нед.</t>
  </si>
  <si>
    <t>ПМ.12</t>
  </si>
  <si>
    <t>Выполнение работ по одной или нескольким профессиям рабочих, должностям служащих</t>
  </si>
  <si>
    <t>УП.12</t>
  </si>
  <si>
    <t>МДК.12.01</t>
  </si>
  <si>
    <t>Выполнение работ по профессии Оператор электронно - вычислительных машин</t>
  </si>
  <si>
    <t>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</si>
</sst>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0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"/>
      <family val="2"/>
      <charset val="204"/>
    </font>
    <font>
      <sz val="12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0"/>
      <color theme="10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sz val="12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7"/>
      <name val="Times New Roman"/>
      <family val="1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name val="Arial Cyr"/>
      <charset val="204"/>
    </font>
    <font>
      <b/>
      <sz val="13"/>
      <color indexed="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5E2D1"/>
        <bgColor indexed="64"/>
      </patternFill>
    </fill>
  </fills>
  <borders count="9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5">
    <xf numFmtId="0" fontId="0" fillId="0" borderId="0" applyNumberFormat="0" applyFont="0" applyFill="0" applyBorder="0" applyAlignment="0" applyProtection="0">
      <alignment vertical="top"/>
    </xf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21" borderId="7" applyNumberFormat="0" applyAlignment="0" applyProtection="0"/>
    <xf numFmtId="0" fontId="20" fillId="0" borderId="0" applyNumberFormat="0" applyFill="0" applyBorder="0" applyAlignment="0" applyProtection="0"/>
    <xf numFmtId="0" fontId="21" fillId="22" borderId="0" applyNumberFormat="0" applyBorder="0" applyAlignment="0" applyProtection="0"/>
    <xf numFmtId="0" fontId="27" fillId="0" borderId="0" applyNumberFormat="0" applyFont="0" applyFill="0" applyBorder="0" applyAlignment="0" applyProtection="0">
      <alignment vertical="top"/>
    </xf>
    <xf numFmtId="0" fontId="22" fillId="3" borderId="0" applyNumberFormat="0" applyBorder="0" applyAlignment="0" applyProtection="0"/>
    <xf numFmtId="0" fontId="23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0" fontId="28" fillId="0" borderId="0"/>
    <xf numFmtId="0" fontId="33" fillId="0" borderId="0" applyNumberFormat="0" applyFill="0" applyBorder="0" applyAlignment="0" applyProtection="0">
      <alignment vertical="top"/>
    </xf>
  </cellStyleXfs>
  <cellXfs count="868">
    <xf numFmtId="0" fontId="0" fillId="0" borderId="0" xfId="0" applyNumberFormat="1" applyFont="1" applyFill="1" applyBorder="1" applyAlignment="1" applyProtection="1">
      <alignment vertical="top"/>
    </xf>
    <xf numFmtId="0" fontId="5" fillId="0" borderId="0" xfId="0" applyNumberFormat="1" applyFont="1" applyFill="1" applyBorder="1" applyAlignment="1" applyProtection="1">
      <alignment vertical="top"/>
    </xf>
    <xf numFmtId="0" fontId="5" fillId="0" borderId="0" xfId="0" applyNumberFormat="1" applyFont="1" applyFill="1" applyBorder="1" applyAlignment="1" applyProtection="1">
      <alignment horizontal="center" vertical="top"/>
    </xf>
    <xf numFmtId="0" fontId="4" fillId="0" borderId="10" xfId="0" applyNumberFormat="1" applyFont="1" applyFill="1" applyBorder="1" applyAlignment="1" applyProtection="1">
      <alignment vertical="top"/>
    </xf>
    <xf numFmtId="0" fontId="4" fillId="0" borderId="10" xfId="0" applyNumberFormat="1" applyFont="1" applyFill="1" applyBorder="1" applyAlignment="1" applyProtection="1">
      <alignment vertical="top" wrapText="1"/>
    </xf>
    <xf numFmtId="0" fontId="4" fillId="0" borderId="0" xfId="36" applyNumberFormat="1" applyFont="1" applyFill="1" applyBorder="1" applyAlignment="1" applyProtection="1">
      <alignment vertical="top"/>
    </xf>
    <xf numFmtId="0" fontId="7" fillId="0" borderId="13" xfId="0" applyNumberFormat="1" applyFont="1" applyFill="1" applyBorder="1" applyAlignment="1" applyProtection="1">
      <alignment horizontal="center" vertical="center"/>
    </xf>
    <xf numFmtId="0" fontId="7" fillId="0" borderId="28" xfId="0" applyNumberFormat="1" applyFont="1" applyFill="1" applyBorder="1" applyAlignment="1" applyProtection="1">
      <alignment horizontal="center" vertical="center" wrapText="1"/>
    </xf>
    <xf numFmtId="0" fontId="7" fillId="0" borderId="34" xfId="0" applyNumberFormat="1" applyFont="1" applyFill="1" applyBorder="1" applyAlignment="1" applyProtection="1">
      <alignment horizontal="center" vertical="center" wrapText="1"/>
    </xf>
    <xf numFmtId="0" fontId="7" fillId="0" borderId="33" xfId="0" applyNumberFormat="1" applyFont="1" applyFill="1" applyBorder="1" applyAlignment="1" applyProtection="1">
      <alignment horizontal="center"/>
    </xf>
    <xf numFmtId="0" fontId="7" fillId="24" borderId="13" xfId="0" applyNumberFormat="1" applyFont="1" applyFill="1" applyBorder="1" applyAlignment="1" applyProtection="1">
      <alignment horizontal="center" vertical="center"/>
    </xf>
    <xf numFmtId="0" fontId="7" fillId="24" borderId="13" xfId="0" applyNumberFormat="1" applyFont="1" applyFill="1" applyBorder="1" applyAlignment="1" applyProtection="1">
      <alignment horizontal="center" vertical="center" wrapText="1"/>
    </xf>
    <xf numFmtId="0" fontId="7" fillId="24" borderId="33" xfId="0" applyNumberFormat="1" applyFont="1" applyFill="1" applyBorder="1" applyAlignment="1" applyProtection="1">
      <alignment horizontal="center" vertical="center"/>
    </xf>
    <xf numFmtId="0" fontId="7" fillId="24" borderId="33" xfId="0" applyNumberFormat="1" applyFont="1" applyFill="1" applyBorder="1" applyAlignment="1" applyProtection="1">
      <alignment horizontal="center" vertical="center" wrapText="1"/>
    </xf>
    <xf numFmtId="0" fontId="7" fillId="0" borderId="13" xfId="0" applyFont="1" applyFill="1" applyBorder="1" applyAlignment="1">
      <alignment horizontal="center"/>
    </xf>
    <xf numFmtId="0" fontId="7" fillId="0" borderId="33" xfId="0" applyNumberFormat="1" applyFont="1" applyFill="1" applyBorder="1" applyAlignment="1" applyProtection="1">
      <alignment horizontal="center" vertical="top"/>
    </xf>
    <xf numFmtId="0" fontId="7" fillId="0" borderId="13" xfId="0" applyNumberFormat="1" applyFont="1" applyFill="1" applyBorder="1" applyAlignment="1" applyProtection="1">
      <alignment horizontal="center" vertical="top"/>
    </xf>
    <xf numFmtId="0" fontId="7" fillId="0" borderId="13" xfId="0" applyFont="1" applyFill="1" applyBorder="1" applyAlignment="1">
      <alignment horizontal="center" vertical="center"/>
    </xf>
    <xf numFmtId="0" fontId="7" fillId="0" borderId="13" xfId="0" applyNumberFormat="1" applyFont="1" applyFill="1" applyBorder="1" applyAlignment="1" applyProtection="1">
      <alignment horizontal="center" vertical="center" wrapText="1"/>
    </xf>
    <xf numFmtId="0" fontId="7" fillId="0" borderId="33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/>
    </xf>
    <xf numFmtId="0" fontId="7" fillId="24" borderId="22" xfId="0" applyNumberFormat="1" applyFont="1" applyFill="1" applyBorder="1" applyAlignment="1" applyProtection="1">
      <alignment horizontal="center" vertical="center"/>
    </xf>
    <xf numFmtId="0" fontId="8" fillId="0" borderId="45" xfId="0" applyNumberFormat="1" applyFont="1" applyFill="1" applyBorder="1" applyAlignment="1" applyProtection="1">
      <alignment horizontal="center" vertical="top"/>
    </xf>
    <xf numFmtId="0" fontId="5" fillId="0" borderId="43" xfId="0" applyNumberFormat="1" applyFont="1" applyFill="1" applyBorder="1" applyAlignment="1" applyProtection="1">
      <alignment vertical="top"/>
    </xf>
    <xf numFmtId="0" fontId="7" fillId="24" borderId="13" xfId="0" applyFont="1" applyFill="1" applyBorder="1" applyAlignment="1">
      <alignment horizontal="center"/>
    </xf>
    <xf numFmtId="0" fontId="7" fillId="24" borderId="33" xfId="0" applyNumberFormat="1" applyFont="1" applyFill="1" applyBorder="1" applyAlignment="1" applyProtection="1">
      <alignment horizontal="center"/>
    </xf>
    <xf numFmtId="0" fontId="4" fillId="24" borderId="42" xfId="0" applyNumberFormat="1" applyFont="1" applyFill="1" applyBorder="1" applyAlignment="1" applyProtection="1">
      <alignment horizontal="center" vertical="top"/>
    </xf>
    <xf numFmtId="0" fontId="5" fillId="24" borderId="0" xfId="0" applyNumberFormat="1" applyFont="1" applyFill="1" applyBorder="1" applyAlignment="1" applyProtection="1">
      <alignment vertical="top"/>
    </xf>
    <xf numFmtId="0" fontId="4" fillId="24" borderId="29" xfId="0" applyNumberFormat="1" applyFont="1" applyFill="1" applyBorder="1" applyAlignment="1" applyProtection="1">
      <alignment horizontal="center" vertical="top"/>
    </xf>
    <xf numFmtId="0" fontId="7" fillId="24" borderId="0" xfId="0" applyNumberFormat="1" applyFont="1" applyFill="1" applyBorder="1" applyAlignment="1" applyProtection="1">
      <alignment vertical="top" wrapText="1"/>
    </xf>
    <xf numFmtId="0" fontId="9" fillId="24" borderId="0" xfId="0" applyNumberFormat="1" applyFont="1" applyFill="1" applyBorder="1" applyAlignment="1" applyProtection="1">
      <alignment horizontal="center" vertical="top" wrapText="1"/>
    </xf>
    <xf numFmtId="0" fontId="4" fillId="24" borderId="0" xfId="0" applyNumberFormat="1" applyFont="1" applyFill="1" applyBorder="1" applyAlignment="1" applyProtection="1">
      <alignment horizontal="center" vertical="top"/>
    </xf>
    <xf numFmtId="0" fontId="4" fillId="24" borderId="0" xfId="0" applyNumberFormat="1" applyFont="1" applyFill="1" applyBorder="1" applyAlignment="1" applyProtection="1">
      <alignment vertical="top"/>
    </xf>
    <xf numFmtId="0" fontId="5" fillId="24" borderId="43" xfId="0" applyNumberFormat="1" applyFont="1" applyFill="1" applyBorder="1" applyAlignment="1" applyProtection="1">
      <alignment vertical="top"/>
    </xf>
    <xf numFmtId="0" fontId="5" fillId="24" borderId="43" xfId="0" applyNumberFormat="1" applyFont="1" applyFill="1" applyBorder="1" applyAlignment="1" applyProtection="1">
      <alignment horizontal="center" vertical="top"/>
    </xf>
    <xf numFmtId="0" fontId="4" fillId="24" borderId="43" xfId="0" applyNumberFormat="1" applyFont="1" applyFill="1" applyBorder="1" applyAlignment="1" applyProtection="1">
      <alignment horizontal="center" vertical="top"/>
    </xf>
    <xf numFmtId="0" fontId="5" fillId="24" borderId="46" xfId="0" applyNumberFormat="1" applyFont="1" applyFill="1" applyBorder="1" applyAlignment="1" applyProtection="1">
      <alignment horizontal="center" vertical="top"/>
    </xf>
    <xf numFmtId="0" fontId="5" fillId="24" borderId="0" xfId="0" applyNumberFormat="1" applyFont="1" applyFill="1" applyBorder="1" applyAlignment="1" applyProtection="1">
      <alignment horizontal="center" vertical="top"/>
    </xf>
    <xf numFmtId="0" fontId="7" fillId="24" borderId="12" xfId="0" applyNumberFormat="1" applyFont="1" applyFill="1" applyBorder="1" applyAlignment="1" applyProtection="1">
      <alignment horizontal="center" vertical="center"/>
    </xf>
    <xf numFmtId="0" fontId="7" fillId="0" borderId="33" xfId="0" applyNumberFormat="1" applyFont="1" applyFill="1" applyBorder="1" applyAlignment="1" applyProtection="1">
      <alignment horizontal="center" vertical="center"/>
    </xf>
    <xf numFmtId="0" fontId="4" fillId="0" borderId="22" xfId="0" applyNumberFormat="1" applyFont="1" applyFill="1" applyBorder="1" applyAlignment="1" applyProtection="1">
      <alignment textRotation="90" wrapText="1"/>
    </xf>
    <xf numFmtId="0" fontId="8" fillId="25" borderId="37" xfId="0" applyNumberFormat="1" applyFont="1" applyFill="1" applyBorder="1" applyAlignment="1" applyProtection="1">
      <alignment horizontal="center" vertical="center"/>
    </xf>
    <xf numFmtId="0" fontId="7" fillId="24" borderId="26" xfId="0" applyNumberFormat="1" applyFont="1" applyFill="1" applyBorder="1" applyAlignment="1" applyProtection="1">
      <alignment horizontal="center" vertical="center"/>
    </xf>
    <xf numFmtId="0" fontId="7" fillId="0" borderId="26" xfId="0" applyNumberFormat="1" applyFont="1" applyFill="1" applyBorder="1" applyAlignment="1" applyProtection="1">
      <alignment horizontal="center" vertical="center"/>
    </xf>
    <xf numFmtId="0" fontId="7" fillId="0" borderId="22" xfId="0" applyNumberFormat="1" applyFont="1" applyFill="1" applyBorder="1" applyAlignment="1" applyProtection="1">
      <alignment horizontal="center" vertical="center"/>
    </xf>
    <xf numFmtId="0" fontId="7" fillId="0" borderId="33" xfId="0" applyNumberFormat="1" applyFont="1" applyFill="1" applyBorder="1" applyAlignment="1" applyProtection="1">
      <alignment horizontal="center" vertical="center" wrapText="1"/>
    </xf>
    <xf numFmtId="0" fontId="4" fillId="0" borderId="69" xfId="0" applyNumberFormat="1" applyFont="1" applyFill="1" applyBorder="1" applyAlignment="1" applyProtection="1">
      <alignment horizontal="center" textRotation="90" wrapText="1"/>
    </xf>
    <xf numFmtId="0" fontId="4" fillId="0" borderId="31" xfId="0" applyNumberFormat="1" applyFont="1" applyFill="1" applyBorder="1" applyAlignment="1" applyProtection="1">
      <alignment horizontal="center" textRotation="90" wrapText="1"/>
    </xf>
    <xf numFmtId="0" fontId="8" fillId="25" borderId="53" xfId="0" applyNumberFormat="1" applyFont="1" applyFill="1" applyBorder="1" applyAlignment="1" applyProtection="1">
      <alignment horizontal="center" vertical="center"/>
    </xf>
    <xf numFmtId="0" fontId="8" fillId="25" borderId="60" xfId="0" applyNumberFormat="1" applyFont="1" applyFill="1" applyBorder="1" applyAlignment="1" applyProtection="1">
      <alignment horizontal="center" vertical="center"/>
    </xf>
    <xf numFmtId="0" fontId="7" fillId="0" borderId="28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7" fillId="24" borderId="29" xfId="0" applyNumberFormat="1" applyFont="1" applyFill="1" applyBorder="1" applyAlignment="1" applyProtection="1">
      <alignment horizontal="center" vertical="center"/>
    </xf>
    <xf numFmtId="0" fontId="7" fillId="24" borderId="28" xfId="0" applyNumberFormat="1" applyFont="1" applyFill="1" applyBorder="1" applyAlignment="1" applyProtection="1">
      <alignment horizontal="center" vertical="center"/>
    </xf>
    <xf numFmtId="0" fontId="7" fillId="0" borderId="34" xfId="0" applyNumberFormat="1" applyFont="1" applyFill="1" applyBorder="1" applyAlignment="1" applyProtection="1">
      <alignment horizontal="center" vertical="top"/>
    </xf>
    <xf numFmtId="0" fontId="7" fillId="0" borderId="27" xfId="0" applyNumberFormat="1" applyFont="1" applyFill="1" applyBorder="1" applyAlignment="1" applyProtection="1">
      <alignment horizontal="left" vertical="top"/>
    </xf>
    <xf numFmtId="0" fontId="7" fillId="0" borderId="39" xfId="0" applyNumberFormat="1" applyFont="1" applyFill="1" applyBorder="1" applyAlignment="1" applyProtection="1">
      <alignment horizontal="center" vertical="center"/>
    </xf>
    <xf numFmtId="0" fontId="7" fillId="0" borderId="63" xfId="0" applyNumberFormat="1" applyFont="1" applyFill="1" applyBorder="1" applyAlignment="1" applyProtection="1">
      <alignment horizontal="center" vertical="center"/>
    </xf>
    <xf numFmtId="0" fontId="7" fillId="0" borderId="11" xfId="0" applyNumberFormat="1" applyFont="1" applyFill="1" applyBorder="1" applyAlignment="1" applyProtection="1">
      <alignment horizontal="center" vertical="top"/>
    </xf>
    <xf numFmtId="0" fontId="7" fillId="0" borderId="55" xfId="0" applyNumberFormat="1" applyFont="1" applyFill="1" applyBorder="1" applyAlignment="1" applyProtection="1">
      <alignment horizontal="left" vertical="top"/>
    </xf>
    <xf numFmtId="0" fontId="7" fillId="0" borderId="15" xfId="0" applyNumberFormat="1" applyFont="1" applyFill="1" applyBorder="1" applyAlignment="1" applyProtection="1">
      <alignment horizontal="center" vertical="center"/>
    </xf>
    <xf numFmtId="0" fontId="7" fillId="0" borderId="35" xfId="0" applyNumberFormat="1" applyFont="1" applyFill="1" applyBorder="1" applyAlignment="1" applyProtection="1">
      <alignment horizontal="center" vertical="center"/>
    </xf>
    <xf numFmtId="0" fontId="7" fillId="0" borderId="55" xfId="0" applyNumberFormat="1" applyFont="1" applyFill="1" applyBorder="1" applyAlignment="1" applyProtection="1">
      <alignment horizontal="left" vertical="center" wrapText="1"/>
    </xf>
    <xf numFmtId="0" fontId="8" fillId="0" borderId="15" xfId="0" applyNumberFormat="1" applyFont="1" applyFill="1" applyBorder="1" applyAlignment="1" applyProtection="1">
      <alignment horizontal="center" vertical="center"/>
    </xf>
    <xf numFmtId="0" fontId="7" fillId="0" borderId="55" xfId="0" applyNumberFormat="1" applyFont="1" applyFill="1" applyBorder="1" applyAlignment="1" applyProtection="1">
      <alignment horizontal="left" vertical="top" wrapText="1"/>
    </xf>
    <xf numFmtId="0" fontId="7" fillId="24" borderId="39" xfId="0" applyNumberFormat="1" applyFont="1" applyFill="1" applyBorder="1" applyAlignment="1" applyProtection="1">
      <alignment horizontal="center" vertical="center"/>
    </xf>
    <xf numFmtId="0" fontId="7" fillId="24" borderId="14" xfId="0" applyNumberFormat="1" applyFont="1" applyFill="1" applyBorder="1" applyAlignment="1" applyProtection="1">
      <alignment horizontal="center" vertical="center"/>
    </xf>
    <xf numFmtId="0" fontId="7" fillId="24" borderId="64" xfId="0" applyNumberFormat="1" applyFont="1" applyFill="1" applyBorder="1" applyAlignment="1" applyProtection="1">
      <alignment horizontal="center" vertical="center"/>
    </xf>
    <xf numFmtId="0" fontId="7" fillId="24" borderId="50" xfId="0" applyNumberFormat="1" applyFont="1" applyFill="1" applyBorder="1" applyAlignment="1" applyProtection="1">
      <alignment horizontal="center" vertical="center"/>
    </xf>
    <xf numFmtId="0" fontId="8" fillId="0" borderId="12" xfId="0" applyNumberFormat="1" applyFont="1" applyFill="1" applyBorder="1" applyAlignment="1" applyProtection="1">
      <alignment horizontal="center" vertical="center"/>
    </xf>
    <xf numFmtId="0" fontId="8" fillId="0" borderId="13" xfId="0" applyNumberFormat="1" applyFont="1" applyFill="1" applyBorder="1" applyAlignment="1" applyProtection="1">
      <alignment horizontal="center" vertical="center"/>
    </xf>
    <xf numFmtId="0" fontId="7" fillId="24" borderId="82" xfId="0" applyNumberFormat="1" applyFont="1" applyFill="1" applyBorder="1" applyAlignment="1" applyProtection="1">
      <alignment horizontal="left" vertical="top"/>
    </xf>
    <xf numFmtId="0" fontId="7" fillId="24" borderId="82" xfId="0" applyNumberFormat="1" applyFont="1" applyFill="1" applyBorder="1" applyAlignment="1" applyProtection="1">
      <alignment horizontal="left" vertical="top" wrapText="1"/>
    </xf>
    <xf numFmtId="0" fontId="7" fillId="0" borderId="38" xfId="0" applyNumberFormat="1" applyFont="1" applyFill="1" applyBorder="1" applyAlignment="1" applyProtection="1">
      <alignment horizontal="center" vertical="center"/>
    </xf>
    <xf numFmtId="0" fontId="8" fillId="24" borderId="51" xfId="0" applyNumberFormat="1" applyFont="1" applyFill="1" applyBorder="1" applyAlignment="1" applyProtection="1">
      <alignment horizontal="center" vertical="center"/>
    </xf>
    <xf numFmtId="0" fontId="7" fillId="24" borderId="34" xfId="0" applyNumberFormat="1" applyFont="1" applyFill="1" applyBorder="1" applyAlignment="1" applyProtection="1">
      <alignment horizontal="center" vertical="center"/>
    </xf>
    <xf numFmtId="0" fontId="7" fillId="0" borderId="34" xfId="0" applyNumberFormat="1" applyFont="1" applyFill="1" applyBorder="1" applyAlignment="1" applyProtection="1">
      <alignment horizontal="center" vertical="center"/>
    </xf>
    <xf numFmtId="0" fontId="31" fillId="0" borderId="33" xfId="0" applyNumberFormat="1" applyFont="1" applyFill="1" applyBorder="1" applyAlignment="1" applyProtection="1">
      <alignment horizontal="center" vertical="center"/>
    </xf>
    <xf numFmtId="0" fontId="7" fillId="24" borderId="11" xfId="0" applyNumberFormat="1" applyFont="1" applyFill="1" applyBorder="1" applyAlignment="1" applyProtection="1">
      <alignment horizontal="center" vertical="center"/>
    </xf>
    <xf numFmtId="0" fontId="7" fillId="24" borderId="75" xfId="0" applyNumberFormat="1" applyFont="1" applyFill="1" applyBorder="1" applyAlignment="1" applyProtection="1">
      <alignment horizontal="center" vertical="center"/>
    </xf>
    <xf numFmtId="0" fontId="7" fillId="0" borderId="75" xfId="0" applyNumberFormat="1" applyFont="1" applyFill="1" applyBorder="1" applyAlignment="1" applyProtection="1">
      <alignment horizontal="center" vertical="top"/>
    </xf>
    <xf numFmtId="0" fontId="8" fillId="25" borderId="79" xfId="0" applyNumberFormat="1" applyFont="1" applyFill="1" applyBorder="1" applyAlignment="1" applyProtection="1">
      <alignment horizontal="left" vertical="top"/>
    </xf>
    <xf numFmtId="0" fontId="8" fillId="25" borderId="57" xfId="0" applyNumberFormat="1" applyFont="1" applyFill="1" applyBorder="1" applyAlignment="1" applyProtection="1">
      <alignment horizontal="center" vertical="top"/>
    </xf>
    <xf numFmtId="0" fontId="7" fillId="0" borderId="11" xfId="0" applyNumberFormat="1" applyFont="1" applyFill="1" applyBorder="1" applyAlignment="1" applyProtection="1">
      <alignment horizontal="center" vertical="center"/>
    </xf>
    <xf numFmtId="0" fontId="7" fillId="0" borderId="75" xfId="0" applyNumberFormat="1" applyFont="1" applyFill="1" applyBorder="1" applyAlignment="1" applyProtection="1">
      <alignment horizontal="center" vertical="center"/>
    </xf>
    <xf numFmtId="0" fontId="7" fillId="0" borderId="82" xfId="0" applyNumberFormat="1" applyFont="1" applyFill="1" applyBorder="1" applyAlignment="1" applyProtection="1">
      <alignment horizontal="center" vertical="center"/>
    </xf>
    <xf numFmtId="0" fontId="7" fillId="0" borderId="83" xfId="0" applyNumberFormat="1" applyFont="1" applyFill="1" applyBorder="1" applyAlignment="1" applyProtection="1">
      <alignment horizontal="center" vertical="center"/>
    </xf>
    <xf numFmtId="0" fontId="7" fillId="24" borderId="28" xfId="0" applyNumberFormat="1" applyFont="1" applyFill="1" applyBorder="1" applyAlignment="1" applyProtection="1">
      <alignment horizontal="center" vertical="center" wrapText="1"/>
    </xf>
    <xf numFmtId="0" fontId="7" fillId="24" borderId="56" xfId="0" applyNumberFormat="1" applyFont="1" applyFill="1" applyBorder="1" applyAlignment="1" applyProtection="1">
      <alignment horizontal="center" vertical="center"/>
    </xf>
    <xf numFmtId="0" fontId="7" fillId="24" borderId="38" xfId="0" applyNumberFormat="1" applyFont="1" applyFill="1" applyBorder="1" applyAlignment="1" applyProtection="1">
      <alignment horizontal="center" vertical="center"/>
    </xf>
    <xf numFmtId="0" fontId="7" fillId="24" borderId="85" xfId="0" applyNumberFormat="1" applyFont="1" applyFill="1" applyBorder="1" applyAlignment="1" applyProtection="1"/>
    <xf numFmtId="0" fontId="7" fillId="24" borderId="34" xfId="0" applyNumberFormat="1" applyFont="1" applyFill="1" applyBorder="1" applyAlignment="1" applyProtection="1">
      <alignment horizontal="center" vertical="center" wrapText="1"/>
    </xf>
    <xf numFmtId="0" fontId="7" fillId="24" borderId="34" xfId="0" applyNumberFormat="1" applyFont="1" applyFill="1" applyBorder="1" applyAlignment="1" applyProtection="1">
      <alignment horizontal="center"/>
    </xf>
    <xf numFmtId="0" fontId="7" fillId="24" borderId="21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center" wrapText="1"/>
    </xf>
    <xf numFmtId="0" fontId="7" fillId="0" borderId="35" xfId="0" applyNumberFormat="1" applyFont="1" applyFill="1" applyBorder="1" applyAlignment="1" applyProtection="1">
      <alignment horizontal="center" vertical="center" wrapText="1"/>
    </xf>
    <xf numFmtId="0" fontId="7" fillId="24" borderId="35" xfId="0" applyNumberFormat="1" applyFont="1" applyFill="1" applyBorder="1" applyAlignment="1" applyProtection="1">
      <alignment horizontal="center" vertical="center" wrapText="1"/>
    </xf>
    <xf numFmtId="0" fontId="29" fillId="0" borderId="49" xfId="0" applyNumberFormat="1" applyFont="1" applyFill="1" applyBorder="1" applyAlignment="1" applyProtection="1">
      <alignment horizontal="center" textRotation="90" wrapText="1"/>
    </xf>
    <xf numFmtId="0" fontId="7" fillId="24" borderId="17" xfId="0" applyNumberFormat="1" applyFont="1" applyFill="1" applyBorder="1" applyAlignment="1" applyProtection="1">
      <alignment horizontal="center" vertical="center"/>
    </xf>
    <xf numFmtId="0" fontId="7" fillId="0" borderId="28" xfId="0" applyFont="1" applyFill="1" applyBorder="1" applyAlignment="1">
      <alignment horizontal="center"/>
    </xf>
    <xf numFmtId="0" fontId="7" fillId="0" borderId="34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7" fillId="0" borderId="21" xfId="0" applyNumberFormat="1" applyFont="1" applyFill="1" applyBorder="1" applyAlignment="1" applyProtection="1">
      <alignment horizontal="center" vertical="center"/>
    </xf>
    <xf numFmtId="0" fontId="7" fillId="0" borderId="38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 vertical="center"/>
    </xf>
    <xf numFmtId="1" fontId="7" fillId="0" borderId="38" xfId="0" applyNumberFormat="1" applyFont="1" applyFill="1" applyBorder="1" applyAlignment="1" applyProtection="1">
      <alignment horizontal="center" vertical="top"/>
    </xf>
    <xf numFmtId="0" fontId="7" fillId="0" borderId="38" xfId="0" applyNumberFormat="1" applyFont="1" applyFill="1" applyBorder="1" applyAlignment="1" applyProtection="1">
      <alignment horizontal="center" vertical="top"/>
    </xf>
    <xf numFmtId="0" fontId="7" fillId="0" borderId="38" xfId="0" applyNumberFormat="1" applyFont="1" applyFill="1" applyBorder="1" applyAlignment="1" applyProtection="1">
      <alignment vertical="center" wrapText="1"/>
    </xf>
    <xf numFmtId="0" fontId="8" fillId="0" borderId="38" xfId="0" applyNumberFormat="1" applyFont="1" applyFill="1" applyBorder="1" applyAlignment="1" applyProtection="1">
      <alignment horizontal="center" vertical="top" wrapText="1"/>
    </xf>
    <xf numFmtId="0" fontId="7" fillId="0" borderId="12" xfId="0" applyNumberFormat="1" applyFont="1" applyFill="1" applyBorder="1" applyAlignment="1" applyProtection="1">
      <alignment horizontal="center" vertical="center"/>
    </xf>
    <xf numFmtId="0" fontId="7" fillId="24" borderId="18" xfId="0" applyNumberFormat="1" applyFont="1" applyFill="1" applyBorder="1" applyAlignment="1" applyProtection="1">
      <alignment horizontal="center" vertical="center"/>
    </xf>
    <xf numFmtId="0" fontId="8" fillId="24" borderId="33" xfId="0" applyNumberFormat="1" applyFont="1" applyFill="1" applyBorder="1" applyAlignment="1" applyProtection="1">
      <alignment horizontal="center" vertical="center"/>
    </xf>
    <xf numFmtId="0" fontId="7" fillId="0" borderId="17" xfId="0" applyNumberFormat="1" applyFont="1" applyFill="1" applyBorder="1" applyAlignment="1" applyProtection="1">
      <alignment horizontal="center" vertical="center" wrapText="1"/>
    </xf>
    <xf numFmtId="0" fontId="7" fillId="0" borderId="15" xfId="0" applyNumberFormat="1" applyFont="1" applyFill="1" applyBorder="1" applyAlignment="1" applyProtection="1">
      <alignment horizontal="center" vertical="top"/>
    </xf>
    <xf numFmtId="0" fontId="4" fillId="24" borderId="81" xfId="43" applyFont="1" applyFill="1" applyBorder="1" applyAlignment="1">
      <alignment horizontal="center" vertical="center" wrapText="1"/>
    </xf>
    <xf numFmtId="0" fontId="4" fillId="24" borderId="23" xfId="43" applyFont="1" applyFill="1" applyBorder="1" applyAlignment="1">
      <alignment horizontal="center" vertical="center" wrapText="1"/>
    </xf>
    <xf numFmtId="0" fontId="4" fillId="24" borderId="87" xfId="43" applyFont="1" applyFill="1" applyBorder="1" applyAlignment="1">
      <alignment horizontal="center" vertical="center" wrapText="1"/>
    </xf>
    <xf numFmtId="0" fontId="7" fillId="24" borderId="44" xfId="0" applyNumberFormat="1" applyFont="1" applyFill="1" applyBorder="1" applyAlignment="1" applyProtection="1">
      <alignment horizontal="center" vertical="center"/>
    </xf>
    <xf numFmtId="0" fontId="7" fillId="0" borderId="63" xfId="0" applyNumberFormat="1" applyFont="1" applyFill="1" applyBorder="1" applyAlignment="1" applyProtection="1">
      <alignment horizontal="left" vertical="top" wrapText="1"/>
    </xf>
    <xf numFmtId="0" fontId="7" fillId="0" borderId="82" xfId="0" applyNumberFormat="1" applyFont="1" applyFill="1" applyBorder="1" applyAlignment="1" applyProtection="1">
      <alignment horizontal="left" vertical="top"/>
    </xf>
    <xf numFmtId="0" fontId="7" fillId="0" borderId="82" xfId="0" applyNumberFormat="1" applyFont="1" applyFill="1" applyBorder="1" applyAlignment="1" applyProtection="1">
      <alignment horizontal="left" vertical="center" wrapText="1" shrinkToFit="1"/>
    </xf>
    <xf numFmtId="0" fontId="8" fillId="0" borderId="64" xfId="0" applyNumberFormat="1" applyFont="1" applyFill="1" applyBorder="1" applyAlignment="1" applyProtection="1">
      <alignment horizontal="center" vertical="center"/>
    </xf>
    <xf numFmtId="0" fontId="7" fillId="0" borderId="71" xfId="0" applyNumberFormat="1" applyFont="1" applyFill="1" applyBorder="1" applyAlignment="1" applyProtection="1">
      <alignment vertical="center" wrapText="1"/>
    </xf>
    <xf numFmtId="0" fontId="7" fillId="0" borderId="82" xfId="0" applyNumberFormat="1" applyFont="1" applyFill="1" applyBorder="1" applyAlignment="1" applyProtection="1">
      <alignment vertical="center" wrapText="1"/>
    </xf>
    <xf numFmtId="0" fontId="7" fillId="0" borderId="83" xfId="0" applyNumberFormat="1" applyFont="1" applyFill="1" applyBorder="1" applyAlignment="1" applyProtection="1">
      <alignment vertical="center" wrapText="1"/>
    </xf>
    <xf numFmtId="0" fontId="7" fillId="0" borderId="82" xfId="44" applyNumberFormat="1" applyFont="1" applyFill="1" applyBorder="1" applyAlignment="1" applyProtection="1">
      <alignment vertical="center" wrapText="1"/>
    </xf>
    <xf numFmtId="0" fontId="7" fillId="0" borderId="19" xfId="0" applyNumberFormat="1" applyFont="1" applyFill="1" applyBorder="1" applyAlignment="1" applyProtection="1">
      <alignment horizontal="justify" vertical="center" wrapText="1"/>
    </xf>
    <xf numFmtId="0" fontId="7" fillId="24" borderId="15" xfId="0" applyNumberFormat="1" applyFont="1" applyFill="1" applyBorder="1" applyAlignment="1" applyProtection="1">
      <alignment horizontal="center" vertical="center" wrapText="1"/>
    </xf>
    <xf numFmtId="0" fontId="8" fillId="24" borderId="15" xfId="0" applyNumberFormat="1" applyFont="1" applyFill="1" applyBorder="1" applyAlignment="1" applyProtection="1">
      <alignment horizontal="center" vertical="center" wrapText="1"/>
    </xf>
    <xf numFmtId="0" fontId="8" fillId="24" borderId="13" xfId="0" applyNumberFormat="1" applyFont="1" applyFill="1" applyBorder="1" applyAlignment="1" applyProtection="1">
      <alignment horizontal="center" vertical="center"/>
    </xf>
    <xf numFmtId="0" fontId="8" fillId="24" borderId="11" xfId="0" applyNumberFormat="1" applyFont="1" applyFill="1" applyBorder="1" applyAlignment="1" applyProtection="1">
      <alignment horizontal="center" vertical="center"/>
    </xf>
    <xf numFmtId="0" fontId="7" fillId="24" borderId="68" xfId="0" applyNumberFormat="1" applyFont="1" applyFill="1" applyBorder="1" applyAlignment="1" applyProtection="1">
      <alignment horizontal="center" vertical="center" wrapText="1"/>
    </xf>
    <xf numFmtId="0" fontId="7" fillId="24" borderId="14" xfId="0" applyNumberFormat="1" applyFont="1" applyFill="1" applyBorder="1" applyAlignment="1" applyProtection="1">
      <alignment horizontal="center" vertical="center" wrapText="1"/>
    </xf>
    <xf numFmtId="0" fontId="7" fillId="24" borderId="26" xfId="0" applyNumberFormat="1" applyFont="1" applyFill="1" applyBorder="1" applyAlignment="1" applyProtection="1">
      <alignment horizontal="center" vertical="center" wrapText="1"/>
    </xf>
    <xf numFmtId="0" fontId="8" fillId="24" borderId="34" xfId="0" applyNumberFormat="1" applyFont="1" applyFill="1" applyBorder="1" applyAlignment="1" applyProtection="1">
      <alignment horizontal="center" vertical="center"/>
    </xf>
    <xf numFmtId="0" fontId="7" fillId="0" borderId="18" xfId="0" applyNumberFormat="1" applyFont="1" applyFill="1" applyBorder="1" applyAlignment="1" applyProtection="1">
      <alignment horizontal="center" vertical="center"/>
    </xf>
    <xf numFmtId="0" fontId="8" fillId="24" borderId="28" xfId="0" applyNumberFormat="1" applyFont="1" applyFill="1" applyBorder="1" applyAlignment="1" applyProtection="1">
      <alignment horizontal="center" vertical="center" wrapText="1"/>
    </xf>
    <xf numFmtId="0" fontId="7" fillId="24" borderId="14" xfId="0" applyNumberFormat="1" applyFont="1" applyFill="1" applyBorder="1" applyAlignment="1" applyProtection="1">
      <alignment horizontal="center"/>
    </xf>
    <xf numFmtId="0" fontId="34" fillId="0" borderId="33" xfId="0" applyNumberFormat="1" applyFont="1" applyFill="1" applyBorder="1" applyAlignment="1" applyProtection="1">
      <alignment horizontal="center" vertical="center"/>
    </xf>
    <xf numFmtId="0" fontId="7" fillId="24" borderId="44" xfId="0" applyNumberFormat="1" applyFont="1" applyFill="1" applyBorder="1" applyAlignment="1" applyProtection="1">
      <alignment horizontal="center" vertical="center" wrapText="1"/>
    </xf>
    <xf numFmtId="0" fontId="8" fillId="25" borderId="66" xfId="0" applyNumberFormat="1" applyFont="1" applyFill="1" applyBorder="1" applyAlignment="1" applyProtection="1">
      <alignment horizontal="center" vertical="center"/>
    </xf>
    <xf numFmtId="0" fontId="8" fillId="25" borderId="40" xfId="0" applyNumberFormat="1" applyFont="1" applyFill="1" applyBorder="1" applyAlignment="1" applyProtection="1">
      <alignment horizontal="center" vertical="center"/>
    </xf>
    <xf numFmtId="0" fontId="8" fillId="25" borderId="10" xfId="0" applyNumberFormat="1" applyFont="1" applyFill="1" applyBorder="1" applyAlignment="1" applyProtection="1">
      <alignment horizontal="center" vertical="center"/>
    </xf>
    <xf numFmtId="0" fontId="7" fillId="0" borderId="85" xfId="0" applyNumberFormat="1" applyFont="1" applyFill="1" applyBorder="1" applyAlignment="1" applyProtection="1">
      <alignment horizontal="center" vertical="center"/>
    </xf>
    <xf numFmtId="0" fontId="7" fillId="0" borderId="21" xfId="0" applyNumberFormat="1" applyFont="1" applyFill="1" applyBorder="1" applyAlignment="1" applyProtection="1">
      <alignment horizontal="center" vertical="top"/>
    </xf>
    <xf numFmtId="0" fontId="8" fillId="0" borderId="26" xfId="0" applyNumberFormat="1" applyFont="1" applyFill="1" applyBorder="1" applyAlignment="1" applyProtection="1">
      <alignment horizontal="center" vertical="center"/>
    </xf>
    <xf numFmtId="0" fontId="31" fillId="0" borderId="13" xfId="0" applyNumberFormat="1" applyFont="1" applyFill="1" applyBorder="1" applyAlignment="1" applyProtection="1">
      <alignment horizontal="center" vertical="center"/>
    </xf>
    <xf numFmtId="0" fontId="8" fillId="0" borderId="33" xfId="0" applyNumberFormat="1" applyFont="1" applyFill="1" applyBorder="1" applyAlignment="1" applyProtection="1">
      <alignment horizontal="center" vertical="center"/>
    </xf>
    <xf numFmtId="0" fontId="29" fillId="0" borderId="13" xfId="0" applyNumberFormat="1" applyFont="1" applyFill="1" applyBorder="1" applyAlignment="1" applyProtection="1">
      <alignment horizontal="center" vertical="center"/>
    </xf>
    <xf numFmtId="0" fontId="7" fillId="0" borderId="16" xfId="0" applyNumberFormat="1" applyFont="1" applyFill="1" applyBorder="1" applyAlignment="1" applyProtection="1">
      <alignment horizontal="center" vertical="top"/>
    </xf>
    <xf numFmtId="0" fontId="7" fillId="0" borderId="18" xfId="0" applyNumberFormat="1" applyFont="1" applyFill="1" applyBorder="1" applyAlignment="1" applyProtection="1">
      <alignment horizontal="center" vertical="top"/>
    </xf>
    <xf numFmtId="0" fontId="7" fillId="0" borderId="17" xfId="0" applyNumberFormat="1" applyFont="1" applyFill="1" applyBorder="1" applyAlignment="1" applyProtection="1">
      <alignment horizontal="center" vertical="top"/>
    </xf>
    <xf numFmtId="0" fontId="7" fillId="0" borderId="13" xfId="0" applyNumberFormat="1" applyFont="1" applyFill="1" applyBorder="1" applyAlignment="1" applyProtection="1">
      <alignment horizontal="center"/>
    </xf>
    <xf numFmtId="0" fontId="7" fillId="0" borderId="56" xfId="0" applyNumberFormat="1" applyFont="1" applyFill="1" applyBorder="1" applyAlignment="1" applyProtection="1">
      <alignment horizontal="center" vertical="top"/>
    </xf>
    <xf numFmtId="0" fontId="7" fillId="0" borderId="22" xfId="0" applyNumberFormat="1" applyFont="1" applyFill="1" applyBorder="1" applyAlignment="1" applyProtection="1">
      <alignment horizontal="center" vertical="top"/>
    </xf>
    <xf numFmtId="0" fontId="8" fillId="26" borderId="57" xfId="0" applyNumberFormat="1" applyFont="1" applyFill="1" applyBorder="1" applyAlignment="1" applyProtection="1">
      <alignment horizontal="center" vertical="center"/>
    </xf>
    <xf numFmtId="0" fontId="7" fillId="26" borderId="63" xfId="0" applyNumberFormat="1" applyFont="1" applyFill="1" applyBorder="1" applyAlignment="1" applyProtection="1">
      <alignment horizontal="center" vertical="center"/>
    </xf>
    <xf numFmtId="0" fontId="7" fillId="26" borderId="84" xfId="0" applyNumberFormat="1" applyFont="1" applyFill="1" applyBorder="1" applyAlignment="1" applyProtection="1">
      <alignment horizontal="center" vertical="center"/>
    </xf>
    <xf numFmtId="0" fontId="7" fillId="26" borderId="82" xfId="0" applyNumberFormat="1" applyFont="1" applyFill="1" applyBorder="1" applyAlignment="1" applyProtection="1">
      <alignment horizontal="center" vertical="center"/>
    </xf>
    <xf numFmtId="0" fontId="7" fillId="26" borderId="39" xfId="0" applyFont="1" applyFill="1" applyBorder="1" applyAlignment="1">
      <alignment horizontal="center"/>
    </xf>
    <xf numFmtId="0" fontId="7" fillId="26" borderId="15" xfId="0" applyFont="1" applyFill="1" applyBorder="1" applyAlignment="1">
      <alignment horizontal="center"/>
    </xf>
    <xf numFmtId="0" fontId="7" fillId="26" borderId="15" xfId="0" applyFont="1" applyFill="1" applyBorder="1" applyAlignment="1">
      <alignment horizontal="center" vertical="center"/>
    </xf>
    <xf numFmtId="0" fontId="7" fillId="26" borderId="27" xfId="0" applyNumberFormat="1" applyFont="1" applyFill="1" applyBorder="1" applyAlignment="1" applyProtection="1">
      <alignment horizontal="center" vertical="center"/>
    </xf>
    <xf numFmtId="0" fontId="7" fillId="26" borderId="55" xfId="0" applyNumberFormat="1" applyFont="1" applyFill="1" applyBorder="1" applyAlignment="1" applyProtection="1">
      <alignment horizontal="center" vertical="center"/>
    </xf>
    <xf numFmtId="0" fontId="7" fillId="26" borderId="28" xfId="0" applyNumberFormat="1" applyFont="1" applyFill="1" applyBorder="1" applyAlignment="1" applyProtection="1">
      <alignment horizontal="center" vertical="center"/>
    </xf>
    <xf numFmtId="0" fontId="7" fillId="26" borderId="51" xfId="0" applyNumberFormat="1" applyFont="1" applyFill="1" applyBorder="1" applyAlignment="1" applyProtection="1">
      <alignment horizontal="center" vertical="center"/>
    </xf>
    <xf numFmtId="0" fontId="7" fillId="26" borderId="44" xfId="0" applyNumberFormat="1" applyFont="1" applyFill="1" applyBorder="1" applyAlignment="1" applyProtection="1">
      <alignment horizontal="center" vertical="center"/>
    </xf>
    <xf numFmtId="0" fontId="7" fillId="26" borderId="38" xfId="0" applyNumberFormat="1" applyFont="1" applyFill="1" applyBorder="1" applyAlignment="1" applyProtection="1">
      <alignment horizontal="center" vertical="center"/>
    </xf>
    <xf numFmtId="0" fontId="7" fillId="26" borderId="29" xfId="0" applyNumberFormat="1" applyFont="1" applyFill="1" applyBorder="1" applyAlignment="1" applyProtection="1">
      <alignment horizontal="center" vertical="center"/>
    </xf>
    <xf numFmtId="0" fontId="8" fillId="26" borderId="15" xfId="0" applyNumberFormat="1" applyFont="1" applyFill="1" applyBorder="1" applyAlignment="1" applyProtection="1">
      <alignment horizontal="center" vertical="center"/>
    </xf>
    <xf numFmtId="0" fontId="7" fillId="26" borderId="56" xfId="0" applyNumberFormat="1" applyFont="1" applyFill="1" applyBorder="1" applyAlignment="1" applyProtection="1">
      <alignment horizontal="center" vertical="center"/>
    </xf>
    <xf numFmtId="0" fontId="7" fillId="26" borderId="28" xfId="0" applyFont="1" applyFill="1" applyBorder="1" applyAlignment="1">
      <alignment horizontal="center"/>
    </xf>
    <xf numFmtId="0" fontId="8" fillId="26" borderId="38" xfId="0" applyNumberFormat="1" applyFont="1" applyFill="1" applyBorder="1" applyAlignment="1" applyProtection="1">
      <alignment horizontal="center" vertical="center"/>
    </xf>
    <xf numFmtId="0" fontId="8" fillId="26" borderId="29" xfId="0" applyNumberFormat="1" applyFont="1" applyFill="1" applyBorder="1" applyAlignment="1" applyProtection="1">
      <alignment horizontal="center" vertical="center"/>
    </xf>
    <xf numFmtId="0" fontId="7" fillId="26" borderId="38" xfId="0" applyFont="1" applyFill="1" applyBorder="1" applyAlignment="1">
      <alignment horizontal="center"/>
    </xf>
    <xf numFmtId="0" fontId="7" fillId="26" borderId="38" xfId="0" applyFont="1" applyFill="1" applyBorder="1" applyAlignment="1">
      <alignment horizontal="center" vertical="center"/>
    </xf>
    <xf numFmtId="0" fontId="7" fillId="26" borderId="39" xfId="0" applyNumberFormat="1" applyFont="1" applyFill="1" applyBorder="1" applyAlignment="1" applyProtection="1">
      <alignment horizontal="center" vertical="center"/>
    </xf>
    <xf numFmtId="0" fontId="7" fillId="26" borderId="68" xfId="0" applyNumberFormat="1" applyFont="1" applyFill="1" applyBorder="1" applyAlignment="1" applyProtection="1">
      <alignment horizontal="center" vertical="center"/>
    </xf>
    <xf numFmtId="0" fontId="7" fillId="26" borderId="15" xfId="0" applyNumberFormat="1" applyFont="1" applyFill="1" applyBorder="1" applyAlignment="1" applyProtection="1">
      <alignment horizontal="center" vertical="center"/>
    </xf>
    <xf numFmtId="0" fontId="8" fillId="26" borderId="39" xfId="0" applyNumberFormat="1" applyFont="1" applyFill="1" applyBorder="1" applyAlignment="1" applyProtection="1">
      <alignment horizontal="center" vertical="center"/>
    </xf>
    <xf numFmtId="0" fontId="31" fillId="26" borderId="39" xfId="0" applyNumberFormat="1" applyFont="1" applyFill="1" applyBorder="1" applyAlignment="1" applyProtection="1">
      <alignment horizontal="center" vertical="center"/>
    </xf>
    <xf numFmtId="0" fontId="8" fillId="26" borderId="28" xfId="0" applyNumberFormat="1" applyFont="1" applyFill="1" applyBorder="1" applyAlignment="1" applyProtection="1">
      <alignment horizontal="center" vertical="center"/>
    </xf>
    <xf numFmtId="0" fontId="7" fillId="0" borderId="42" xfId="0" applyNumberFormat="1" applyFont="1" applyFill="1" applyBorder="1" applyAlignment="1" applyProtection="1">
      <alignment horizontal="center" vertical="top"/>
    </xf>
    <xf numFmtId="0" fontId="7" fillId="27" borderId="33" xfId="0" applyFont="1" applyFill="1" applyBorder="1" applyAlignment="1">
      <alignment horizontal="center"/>
    </xf>
    <xf numFmtId="0" fontId="7" fillId="27" borderId="33" xfId="0" applyNumberFormat="1" applyFont="1" applyFill="1" applyBorder="1" applyAlignment="1" applyProtection="1">
      <alignment horizontal="center" vertical="center"/>
    </xf>
    <xf numFmtId="0" fontId="7" fillId="27" borderId="13" xfId="0" applyNumberFormat="1" applyFont="1" applyFill="1" applyBorder="1" applyAlignment="1" applyProtection="1">
      <alignment horizontal="center" vertical="center"/>
    </xf>
    <xf numFmtId="0" fontId="8" fillId="27" borderId="13" xfId="0" applyNumberFormat="1" applyFont="1" applyFill="1" applyBorder="1" applyAlignment="1" applyProtection="1">
      <alignment horizontal="center" vertical="center"/>
    </xf>
    <xf numFmtId="0" fontId="7" fillId="27" borderId="22" xfId="0" applyNumberFormat="1" applyFont="1" applyFill="1" applyBorder="1" applyAlignment="1" applyProtection="1">
      <alignment horizontal="center" vertical="center"/>
    </xf>
    <xf numFmtId="0" fontId="4" fillId="27" borderId="21" xfId="0" applyNumberFormat="1" applyFont="1" applyFill="1" applyBorder="1" applyAlignment="1" applyProtection="1">
      <alignment textRotation="90" wrapText="1"/>
    </xf>
    <xf numFmtId="0" fontId="7" fillId="27" borderId="34" xfId="0" applyFont="1" applyFill="1" applyBorder="1" applyAlignment="1">
      <alignment horizontal="center"/>
    </xf>
    <xf numFmtId="0" fontId="7" fillId="27" borderId="11" xfId="0" applyFont="1" applyFill="1" applyBorder="1" applyAlignment="1">
      <alignment horizontal="center"/>
    </xf>
    <xf numFmtId="0" fontId="7" fillId="27" borderId="11" xfId="0" applyFont="1" applyFill="1" applyBorder="1" applyAlignment="1">
      <alignment horizontal="center" vertical="center"/>
    </xf>
    <xf numFmtId="0" fontId="7" fillId="27" borderId="34" xfId="0" applyNumberFormat="1" applyFont="1" applyFill="1" applyBorder="1" applyAlignment="1" applyProtection="1">
      <alignment horizontal="center" vertical="center"/>
    </xf>
    <xf numFmtId="0" fontId="7" fillId="27" borderId="11" xfId="0" applyNumberFormat="1" applyFont="1" applyFill="1" applyBorder="1" applyAlignment="1" applyProtection="1">
      <alignment horizontal="center" vertical="center"/>
    </xf>
    <xf numFmtId="0" fontId="7" fillId="27" borderId="75" xfId="0" applyNumberFormat="1" applyFont="1" applyFill="1" applyBorder="1" applyAlignment="1" applyProtection="1">
      <alignment horizontal="center" vertical="center"/>
    </xf>
    <xf numFmtId="0" fontId="8" fillId="27" borderId="14" xfId="0" applyNumberFormat="1" applyFont="1" applyFill="1" applyBorder="1" applyAlignment="1" applyProtection="1">
      <alignment horizontal="center" vertical="center"/>
    </xf>
    <xf numFmtId="0" fontId="7" fillId="27" borderId="34" xfId="0" applyNumberFormat="1" applyFont="1" applyFill="1" applyBorder="1" applyAlignment="1" applyProtection="1">
      <alignment horizontal="center"/>
    </xf>
    <xf numFmtId="0" fontId="7" fillId="27" borderId="21" xfId="0" applyNumberFormat="1" applyFont="1" applyFill="1" applyBorder="1" applyAlignment="1" applyProtection="1">
      <alignment horizontal="center" vertical="center"/>
    </xf>
    <xf numFmtId="0" fontId="8" fillId="27" borderId="34" xfId="0" applyNumberFormat="1" applyFont="1" applyFill="1" applyBorder="1" applyAlignment="1" applyProtection="1">
      <alignment horizontal="center" vertical="center"/>
    </xf>
    <xf numFmtId="0" fontId="8" fillId="27" borderId="75" xfId="0" applyNumberFormat="1" applyFont="1" applyFill="1" applyBorder="1" applyAlignment="1" applyProtection="1">
      <alignment horizontal="center" vertical="center"/>
    </xf>
    <xf numFmtId="0" fontId="7" fillId="27" borderId="14" xfId="0" applyNumberFormat="1" applyFont="1" applyFill="1" applyBorder="1" applyAlignment="1" applyProtection="1">
      <alignment horizontal="center" vertical="center"/>
    </xf>
    <xf numFmtId="0" fontId="7" fillId="27" borderId="35" xfId="0" applyNumberFormat="1" applyFont="1" applyFill="1" applyBorder="1" applyAlignment="1" applyProtection="1">
      <alignment horizontal="center" vertical="center"/>
    </xf>
    <xf numFmtId="0" fontId="7" fillId="27" borderId="50" xfId="0" applyNumberFormat="1" applyFont="1" applyFill="1" applyBorder="1" applyAlignment="1" applyProtection="1">
      <alignment horizontal="center" vertical="center"/>
    </xf>
    <xf numFmtId="0" fontId="31" fillId="27" borderId="34" xfId="0" applyNumberFormat="1" applyFont="1" applyFill="1" applyBorder="1" applyAlignment="1" applyProtection="1">
      <alignment horizontal="center" vertical="center"/>
    </xf>
    <xf numFmtId="0" fontId="7" fillId="27" borderId="34" xfId="0" applyNumberFormat="1" applyFont="1" applyFill="1" applyBorder="1" applyAlignment="1" applyProtection="1">
      <alignment horizontal="center" vertical="center" wrapText="1"/>
    </xf>
    <xf numFmtId="0" fontId="7" fillId="27" borderId="11" xfId="0" applyNumberFormat="1" applyFont="1" applyFill="1" applyBorder="1" applyAlignment="1" applyProtection="1">
      <alignment horizontal="center" vertical="center" wrapText="1"/>
    </xf>
    <xf numFmtId="0" fontId="3" fillId="28" borderId="72" xfId="0" applyNumberFormat="1" applyFont="1" applyFill="1" applyBorder="1" applyAlignment="1" applyProtection="1">
      <alignment horizontal="center" vertical="center" textRotation="90"/>
    </xf>
    <xf numFmtId="0" fontId="8" fillId="28" borderId="57" xfId="0" applyNumberFormat="1" applyFont="1" applyFill="1" applyBorder="1" applyAlignment="1" applyProtection="1">
      <alignment horizontal="left" vertical="center" wrapText="1"/>
    </xf>
    <xf numFmtId="0" fontId="8" fillId="28" borderId="53" xfId="0" applyNumberFormat="1" applyFont="1" applyFill="1" applyBorder="1" applyAlignment="1" applyProtection="1">
      <alignment horizontal="center" vertical="center"/>
    </xf>
    <xf numFmtId="0" fontId="8" fillId="28" borderId="12" xfId="0" applyNumberFormat="1" applyFont="1" applyFill="1" applyBorder="1" applyAlignment="1" applyProtection="1">
      <alignment horizontal="center" vertical="center"/>
    </xf>
    <xf numFmtId="0" fontId="8" fillId="28" borderId="61" xfId="0" applyNumberFormat="1" applyFont="1" applyFill="1" applyBorder="1" applyAlignment="1" applyProtection="1">
      <alignment horizontal="center" vertical="center"/>
    </xf>
    <xf numFmtId="0" fontId="8" fillId="28" borderId="57" xfId="0" applyNumberFormat="1" applyFont="1" applyFill="1" applyBorder="1" applyAlignment="1" applyProtection="1">
      <alignment horizontal="center" vertical="center"/>
    </xf>
    <xf numFmtId="0" fontId="3" fillId="28" borderId="57" xfId="0" applyNumberFormat="1" applyFont="1" applyFill="1" applyBorder="1" applyAlignment="1" applyProtection="1">
      <alignment horizontal="center" vertical="center" textRotation="90"/>
    </xf>
    <xf numFmtId="0" fontId="8" fillId="28" borderId="79" xfId="0" applyNumberFormat="1" applyFont="1" applyFill="1" applyBorder="1" applyAlignment="1" applyProtection="1">
      <alignment horizontal="left" vertical="center" wrapText="1"/>
    </xf>
    <xf numFmtId="0" fontId="32" fillId="28" borderId="46" xfId="0" applyNumberFormat="1" applyFont="1" applyFill="1" applyBorder="1" applyAlignment="1" applyProtection="1">
      <alignment horizontal="center" vertical="center"/>
    </xf>
    <xf numFmtId="0" fontId="32" fillId="28" borderId="31" xfId="0" applyNumberFormat="1" applyFont="1" applyFill="1" applyBorder="1" applyAlignment="1" applyProtection="1">
      <alignment horizontal="center" vertical="center"/>
    </xf>
    <xf numFmtId="0" fontId="32" fillId="28" borderId="32" xfId="0" applyNumberFormat="1" applyFont="1" applyFill="1" applyBorder="1" applyAlignment="1" applyProtection="1">
      <alignment horizontal="center" vertical="center"/>
    </xf>
    <xf numFmtId="0" fontId="8" fillId="28" borderId="57" xfId="0" applyNumberFormat="1" applyFont="1" applyFill="1" applyBorder="1" applyAlignment="1" applyProtection="1">
      <alignment horizontal="left" vertical="center"/>
    </xf>
    <xf numFmtId="0" fontId="7" fillId="28" borderId="28" xfId="0" applyNumberFormat="1" applyFont="1" applyFill="1" applyBorder="1" applyAlignment="1" applyProtection="1">
      <alignment horizontal="center" vertical="center"/>
    </xf>
    <xf numFmtId="0" fontId="7" fillId="28" borderId="29" xfId="0" applyNumberFormat="1" applyFont="1" applyFill="1" applyBorder="1" applyAlignment="1" applyProtection="1">
      <alignment horizontal="center" vertical="center"/>
    </xf>
    <xf numFmtId="0" fontId="7" fillId="28" borderId="33" xfId="0" applyNumberFormat="1" applyFont="1" applyFill="1" applyBorder="1" applyAlignment="1" applyProtection="1">
      <alignment horizontal="center" vertical="center"/>
    </xf>
    <xf numFmtId="0" fontId="7" fillId="28" borderId="13" xfId="0" applyNumberFormat="1" applyFont="1" applyFill="1" applyBorder="1" applyAlignment="1" applyProtection="1">
      <alignment horizontal="center" vertical="center"/>
    </xf>
    <xf numFmtId="0" fontId="7" fillId="28" borderId="22" xfId="0" applyNumberFormat="1" applyFont="1" applyFill="1" applyBorder="1" applyAlignment="1" applyProtection="1">
      <alignment horizontal="center" vertical="center"/>
    </xf>
    <xf numFmtId="0" fontId="8" fillId="24" borderId="75" xfId="0" applyNumberFormat="1" applyFont="1" applyFill="1" applyBorder="1" applyAlignment="1" applyProtection="1">
      <alignment horizontal="center" vertical="center"/>
    </xf>
    <xf numFmtId="0" fontId="8" fillId="27" borderId="12" xfId="0" applyNumberFormat="1" applyFont="1" applyFill="1" applyBorder="1" applyAlignment="1" applyProtection="1">
      <alignment horizontal="center" vertical="center"/>
    </xf>
    <xf numFmtId="0" fontId="7" fillId="0" borderId="24" xfId="0" applyNumberFormat="1" applyFont="1" applyFill="1" applyBorder="1" applyAlignment="1" applyProtection="1">
      <alignment horizontal="left" vertical="center" wrapText="1"/>
    </xf>
    <xf numFmtId="0" fontId="7" fillId="0" borderId="82" xfId="0" applyNumberFormat="1" applyFont="1" applyFill="1" applyBorder="1" applyAlignment="1" applyProtection="1">
      <alignment horizontal="left" vertical="center" wrapText="1"/>
    </xf>
    <xf numFmtId="0" fontId="7" fillId="24" borderId="63" xfId="43" applyFont="1" applyFill="1" applyBorder="1" applyAlignment="1">
      <alignment vertical="center" wrapText="1"/>
    </xf>
    <xf numFmtId="0" fontId="7" fillId="24" borderId="82" xfId="43" applyFont="1" applyFill="1" applyBorder="1" applyAlignment="1">
      <alignment vertical="center" wrapText="1"/>
    </xf>
    <xf numFmtId="0" fontId="7" fillId="24" borderId="84" xfId="43" applyFont="1" applyFill="1" applyBorder="1" applyAlignment="1">
      <alignment vertical="center" wrapText="1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47" xfId="0" applyNumberFormat="1" applyFont="1" applyFill="1" applyBorder="1" applyAlignment="1" applyProtection="1">
      <alignment horizontal="center" vertical="top" wrapText="1"/>
    </xf>
    <xf numFmtId="0" fontId="8" fillId="0" borderId="57" xfId="0" applyNumberFormat="1" applyFont="1" applyFill="1" applyBorder="1" applyAlignment="1" applyProtection="1">
      <alignment horizontal="center" vertical="top" wrapText="1"/>
    </xf>
    <xf numFmtId="0" fontId="8" fillId="0" borderId="79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center" vertical="top" wrapText="1"/>
    </xf>
    <xf numFmtId="0" fontId="7" fillId="0" borderId="72" xfId="0" applyNumberFormat="1" applyFont="1" applyFill="1" applyBorder="1" applyAlignment="1" applyProtection="1">
      <alignment vertical="top" wrapText="1"/>
    </xf>
    <xf numFmtId="0" fontId="7" fillId="0" borderId="80" xfId="0" applyNumberFormat="1" applyFont="1" applyFill="1" applyBorder="1" applyAlignment="1" applyProtection="1">
      <alignment vertical="top" wrapText="1"/>
    </xf>
    <xf numFmtId="0" fontId="7" fillId="0" borderId="8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0" fontId="7" fillId="0" borderId="82" xfId="0" applyNumberFormat="1" applyFont="1" applyFill="1" applyBorder="1" applyAlignment="1" applyProtection="1">
      <alignment horizontal="center" vertical="top" wrapText="1"/>
    </xf>
    <xf numFmtId="0" fontId="35" fillId="0" borderId="0" xfId="0" applyNumberFormat="1" applyFont="1" applyFill="1" applyBorder="1" applyAlignment="1" applyProtection="1">
      <alignment vertical="top" wrapText="1"/>
    </xf>
    <xf numFmtId="0" fontId="7" fillId="0" borderId="57" xfId="0" applyNumberFormat="1" applyFont="1" applyFill="1" applyBorder="1" applyAlignment="1" applyProtection="1">
      <alignment vertical="top" wrapText="1"/>
    </xf>
    <xf numFmtId="0" fontId="8" fillId="0" borderId="58" xfId="0" applyNumberFormat="1" applyFont="1" applyFill="1" applyBorder="1" applyAlignment="1" applyProtection="1">
      <alignment horizontal="right" vertical="top" wrapText="1"/>
    </xf>
    <xf numFmtId="0" fontId="7" fillId="0" borderId="57" xfId="0" applyNumberFormat="1" applyFont="1" applyFill="1" applyBorder="1" applyAlignment="1" applyProtection="1">
      <alignment horizontal="center" vertical="top" wrapText="1"/>
    </xf>
    <xf numFmtId="0" fontId="7" fillId="0" borderId="79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 wrapText="1"/>
    </xf>
    <xf numFmtId="0" fontId="7" fillId="0" borderId="70" xfId="0" applyNumberFormat="1" applyFont="1" applyFill="1" applyBorder="1" applyAlignment="1" applyProtection="1">
      <alignment horizontal="center" vertical="top" wrapText="1"/>
    </xf>
    <xf numFmtId="0" fontId="7" fillId="0" borderId="72" xfId="0" applyNumberFormat="1" applyFont="1" applyFill="1" applyBorder="1" applyAlignment="1" applyProtection="1">
      <alignment horizontal="center" vertical="top" wrapText="1"/>
    </xf>
    <xf numFmtId="0" fontId="7" fillId="30" borderId="80" xfId="0" applyNumberFormat="1" applyFont="1" applyFill="1" applyBorder="1" applyAlignment="1" applyProtection="1">
      <alignment horizontal="center" vertical="top" wrapText="1"/>
    </xf>
    <xf numFmtId="0" fontId="7" fillId="0" borderId="47" xfId="0" applyNumberFormat="1" applyFont="1" applyFill="1" applyBorder="1" applyAlignment="1" applyProtection="1">
      <alignment vertical="top" wrapText="1"/>
    </xf>
    <xf numFmtId="0" fontId="7" fillId="0" borderId="85" xfId="0" applyNumberFormat="1" applyFont="1" applyFill="1" applyBorder="1" applyAlignment="1" applyProtection="1">
      <alignment vertical="top" wrapText="1"/>
    </xf>
    <xf numFmtId="0" fontId="7" fillId="29" borderId="85" xfId="0" applyNumberFormat="1" applyFont="1" applyFill="1" applyBorder="1" applyAlignment="1" applyProtection="1">
      <alignment vertical="top" wrapText="1"/>
    </xf>
    <xf numFmtId="0" fontId="7" fillId="0" borderId="85" xfId="0" applyNumberFormat="1" applyFont="1" applyFill="1" applyBorder="1" applyAlignment="1" applyProtection="1">
      <alignment vertical="top"/>
    </xf>
    <xf numFmtId="0" fontId="7" fillId="0" borderId="85" xfId="0" applyNumberFormat="1" applyFont="1" applyFill="1" applyBorder="1" applyAlignment="1" applyProtection="1">
      <alignment horizontal="left" vertical="top" wrapText="1"/>
    </xf>
    <xf numFmtId="0" fontId="8" fillId="0" borderId="85" xfId="0" applyNumberFormat="1" applyFont="1" applyFill="1" applyBorder="1" applyAlignment="1" applyProtection="1">
      <alignment horizontal="center" vertical="top" wrapText="1"/>
    </xf>
    <xf numFmtId="0" fontId="7" fillId="0" borderId="38" xfId="0" applyNumberFormat="1" applyFont="1" applyFill="1" applyBorder="1" applyAlignment="1" applyProtection="1">
      <alignment horizontal="center" vertical="top" wrapText="1"/>
    </xf>
    <xf numFmtId="0" fontId="7" fillId="0" borderId="13" xfId="0" applyNumberFormat="1" applyFont="1" applyFill="1" applyBorder="1" applyAlignment="1" applyProtection="1">
      <alignment horizontal="center" vertical="top" wrapText="1"/>
    </xf>
    <xf numFmtId="0" fontId="7" fillId="0" borderId="11" xfId="0" applyNumberFormat="1" applyFont="1" applyFill="1" applyBorder="1" applyAlignment="1" applyProtection="1">
      <alignment horizontal="center" vertical="top" wrapText="1"/>
    </xf>
    <xf numFmtId="0" fontId="7" fillId="0" borderId="38" xfId="0" applyNumberFormat="1" applyFont="1" applyFill="1" applyBorder="1" applyAlignment="1" applyProtection="1">
      <alignment horizontal="center" wrapText="1"/>
    </xf>
    <xf numFmtId="0" fontId="7" fillId="0" borderId="13" xfId="0" applyNumberFormat="1" applyFont="1" applyFill="1" applyBorder="1" applyAlignment="1" applyProtection="1">
      <alignment horizontal="center" wrapText="1"/>
    </xf>
    <xf numFmtId="0" fontId="7" fillId="0" borderId="11" xfId="0" applyNumberFormat="1" applyFont="1" applyFill="1" applyBorder="1" applyAlignment="1" applyProtection="1">
      <alignment horizontal="center" wrapText="1"/>
    </xf>
    <xf numFmtId="0" fontId="31" fillId="0" borderId="35" xfId="0" applyNumberFormat="1" applyFont="1" applyFill="1" applyBorder="1" applyAlignment="1" applyProtection="1">
      <alignment horizontal="center" vertical="center"/>
    </xf>
    <xf numFmtId="0" fontId="4" fillId="0" borderId="31" xfId="0" applyNumberFormat="1" applyFont="1" applyFill="1" applyBorder="1" applyAlignment="1" applyProtection="1">
      <alignment horizontal="center" textRotation="90" wrapText="1"/>
    </xf>
    <xf numFmtId="0" fontId="5" fillId="0" borderId="0" xfId="36" applyNumberFormat="1" applyFont="1" applyFill="1" applyBorder="1" applyAlignment="1" applyProtection="1">
      <alignment vertical="top"/>
    </xf>
    <xf numFmtId="0" fontId="4" fillId="24" borderId="0" xfId="36" applyNumberFormat="1" applyFont="1" applyFill="1" applyBorder="1" applyAlignment="1" applyProtection="1">
      <alignment vertical="top"/>
    </xf>
    <xf numFmtId="0" fontId="29" fillId="0" borderId="0" xfId="36" applyNumberFormat="1" applyFont="1" applyFill="1" applyBorder="1" applyAlignment="1" applyProtection="1">
      <alignment vertical="top"/>
    </xf>
    <xf numFmtId="0" fontId="29" fillId="0" borderId="0" xfId="36" applyNumberFormat="1" applyFont="1" applyFill="1" applyBorder="1" applyAlignment="1" applyProtection="1">
      <alignment vertical="top" wrapText="1"/>
    </xf>
    <xf numFmtId="0" fontId="29" fillId="0" borderId="0" xfId="36" applyNumberFormat="1" applyFont="1" applyFill="1" applyBorder="1" applyAlignment="1" applyProtection="1">
      <alignment horizontal="left" vertical="top"/>
    </xf>
    <xf numFmtId="0" fontId="32" fillId="0" borderId="0" xfId="36" applyNumberFormat="1" applyFont="1" applyFill="1" applyBorder="1" applyAlignment="1" applyProtection="1">
      <alignment horizontal="left" vertical="top"/>
    </xf>
    <xf numFmtId="0" fontId="32" fillId="0" borderId="0" xfId="36" applyNumberFormat="1" applyFont="1" applyFill="1" applyBorder="1" applyAlignment="1" applyProtection="1">
      <alignment vertical="top"/>
    </xf>
    <xf numFmtId="0" fontId="32" fillId="24" borderId="0" xfId="36" applyNumberFormat="1" applyFont="1" applyFill="1" applyBorder="1" applyAlignment="1" applyProtection="1">
      <alignment horizontal="left" vertical="top"/>
    </xf>
    <xf numFmtId="0" fontId="37" fillId="24" borderId="51" xfId="36" applyNumberFormat="1" applyFont="1" applyFill="1" applyBorder="1" applyAlignment="1" applyProtection="1">
      <alignment horizontal="center" vertical="center"/>
    </xf>
    <xf numFmtId="0" fontId="37" fillId="24" borderId="26" xfId="36" applyNumberFormat="1" applyFont="1" applyFill="1" applyBorder="1" applyAlignment="1" applyProtection="1">
      <alignment horizontal="center" vertical="center"/>
    </xf>
    <xf numFmtId="0" fontId="37" fillId="24" borderId="0" xfId="36" applyNumberFormat="1" applyFont="1" applyFill="1" applyBorder="1" applyAlignment="1" applyProtection="1">
      <alignment horizontal="center" vertical="center"/>
    </xf>
    <xf numFmtId="0" fontId="37" fillId="24" borderId="29" xfId="36" applyNumberFormat="1" applyFont="1" applyFill="1" applyBorder="1" applyAlignment="1" applyProtection="1">
      <alignment horizontal="center" vertical="center"/>
    </xf>
    <xf numFmtId="0" fontId="37" fillId="24" borderId="19" xfId="36" applyNumberFormat="1" applyFont="1" applyFill="1" applyBorder="1" applyAlignment="1" applyProtection="1">
      <alignment horizontal="center" vertical="center"/>
    </xf>
    <xf numFmtId="0" fontId="37" fillId="24" borderId="12" xfId="36" applyNumberFormat="1" applyFont="1" applyFill="1" applyBorder="1" applyAlignment="1" applyProtection="1">
      <alignment horizontal="center" vertical="center"/>
    </xf>
    <xf numFmtId="0" fontId="37" fillId="24" borderId="30" xfId="36" applyNumberFormat="1" applyFont="1" applyFill="1" applyBorder="1" applyAlignment="1" applyProtection="1">
      <alignment horizontal="center" vertical="center"/>
    </xf>
    <xf numFmtId="0" fontId="37" fillId="24" borderId="16" xfId="36" applyNumberFormat="1" applyFont="1" applyFill="1" applyBorder="1" applyAlignment="1" applyProtection="1">
      <alignment horizontal="center" vertical="center"/>
    </xf>
    <xf numFmtId="0" fontId="41" fillId="24" borderId="18" xfId="36" applyNumberFormat="1" applyFont="1" applyFill="1" applyBorder="1" applyAlignment="1" applyProtection="1">
      <alignment horizontal="center" vertical="center"/>
    </xf>
    <xf numFmtId="0" fontId="41" fillId="24" borderId="18" xfId="36" applyNumberFormat="1" applyFont="1" applyFill="1" applyBorder="1" applyAlignment="1" applyProtection="1">
      <alignment horizontal="center" vertical="center" textRotation="90"/>
    </xf>
    <xf numFmtId="0" fontId="42" fillId="24" borderId="18" xfId="36" applyNumberFormat="1" applyFont="1" applyFill="1" applyBorder="1" applyAlignment="1" applyProtection="1">
      <alignment horizontal="center" vertical="center"/>
    </xf>
    <xf numFmtId="0" fontId="41" fillId="24" borderId="40" xfId="36" applyNumberFormat="1" applyFont="1" applyFill="1" applyBorder="1" applyAlignment="1" applyProtection="1">
      <alignment horizontal="center" vertical="center"/>
    </xf>
    <xf numFmtId="0" fontId="37" fillId="24" borderId="18" xfId="36" applyNumberFormat="1" applyFont="1" applyFill="1" applyBorder="1" applyAlignment="1" applyProtection="1">
      <alignment horizontal="center" vertical="center"/>
    </xf>
    <xf numFmtId="0" fontId="37" fillId="24" borderId="18" xfId="36" applyNumberFormat="1" applyFont="1" applyFill="1" applyBorder="1" applyAlignment="1" applyProtection="1">
      <alignment horizontal="center" vertical="center" textRotation="90"/>
    </xf>
    <xf numFmtId="0" fontId="43" fillId="24" borderId="18" xfId="36" applyNumberFormat="1" applyFont="1" applyFill="1" applyBorder="1" applyAlignment="1" applyProtection="1">
      <alignment horizontal="left" vertical="top"/>
    </xf>
    <xf numFmtId="0" fontId="37" fillId="24" borderId="18" xfId="36" applyNumberFormat="1" applyFont="1" applyFill="1" applyBorder="1" applyAlignment="1" applyProtection="1">
      <alignment horizontal="left" vertical="top"/>
    </xf>
    <xf numFmtId="0" fontId="37" fillId="24" borderId="17" xfId="36" applyNumberFormat="1" applyFont="1" applyFill="1" applyBorder="1" applyAlignment="1" applyProtection="1">
      <alignment horizontal="left" vertical="top"/>
    </xf>
    <xf numFmtId="0" fontId="42" fillId="0" borderId="62" xfId="36" applyNumberFormat="1" applyFont="1" applyFill="1" applyBorder="1" applyAlignment="1" applyProtection="1">
      <alignment horizontal="center" vertical="center"/>
    </xf>
    <xf numFmtId="0" fontId="5" fillId="0" borderId="44" xfId="36" applyNumberFormat="1" applyFont="1" applyFill="1" applyBorder="1" applyAlignment="1" applyProtection="1">
      <alignment horizontal="center" vertical="center"/>
    </xf>
    <xf numFmtId="0" fontId="5" fillId="0" borderId="18" xfId="36" applyNumberFormat="1" applyFont="1" applyFill="1" applyBorder="1" applyAlignment="1" applyProtection="1">
      <alignment horizontal="center" vertical="center"/>
    </xf>
    <xf numFmtId="0" fontId="5" fillId="0" borderId="18" xfId="36" applyNumberFormat="1" applyFont="1" applyFill="1" applyBorder="1" applyAlignment="1" applyProtection="1">
      <alignment horizontal="center" vertical="center" wrapText="1"/>
    </xf>
    <xf numFmtId="0" fontId="5" fillId="0" borderId="16" xfId="36" applyNumberFormat="1" applyFont="1" applyFill="1" applyBorder="1" applyAlignment="1" applyProtection="1">
      <alignment horizontal="center" vertical="center" wrapText="1"/>
    </xf>
    <xf numFmtId="0" fontId="5" fillId="0" borderId="54" xfId="36" applyNumberFormat="1" applyFont="1" applyFill="1" applyBorder="1" applyAlignment="1" applyProtection="1">
      <alignment horizontal="center" vertical="center"/>
    </xf>
    <xf numFmtId="0" fontId="5" fillId="0" borderId="17" xfId="36" applyNumberFormat="1" applyFont="1" applyFill="1" applyBorder="1" applyAlignment="1" applyProtection="1">
      <alignment horizontal="center" vertical="center"/>
    </xf>
    <xf numFmtId="0" fontId="37" fillId="24" borderId="53" xfId="36" applyNumberFormat="1" applyFont="1" applyFill="1" applyBorder="1" applyAlignment="1" applyProtection="1">
      <alignment horizontal="left" vertical="top"/>
    </xf>
    <xf numFmtId="0" fontId="41" fillId="24" borderId="37" xfId="36" applyNumberFormat="1" applyFont="1" applyFill="1" applyBorder="1" applyAlignment="1" applyProtection="1">
      <alignment horizontal="left" vertical="top"/>
    </xf>
    <xf numFmtId="0" fontId="42" fillId="24" borderId="37" xfId="36" applyNumberFormat="1" applyFont="1" applyFill="1" applyBorder="1" applyAlignment="1" applyProtection="1">
      <alignment horizontal="left" vertical="top"/>
    </xf>
    <xf numFmtId="0" fontId="42" fillId="24" borderId="37" xfId="36" applyNumberFormat="1" applyFont="1" applyFill="1" applyBorder="1" applyAlignment="1" applyProtection="1">
      <alignment horizontal="center" vertical="top"/>
    </xf>
    <xf numFmtId="0" fontId="37" fillId="24" borderId="37" xfId="36" applyNumberFormat="1" applyFont="1" applyFill="1" applyBorder="1" applyAlignment="1" applyProtection="1">
      <alignment horizontal="left" vertical="top"/>
    </xf>
    <xf numFmtId="0" fontId="37" fillId="24" borderId="61" xfId="36" applyNumberFormat="1" applyFont="1" applyFill="1" applyBorder="1" applyAlignment="1" applyProtection="1">
      <alignment horizontal="left" vertical="top"/>
    </xf>
    <xf numFmtId="0" fontId="42" fillId="24" borderId="57" xfId="36" applyNumberFormat="1" applyFont="1" applyFill="1" applyBorder="1" applyAlignment="1" applyProtection="1">
      <alignment horizontal="center" vertical="top"/>
    </xf>
    <xf numFmtId="0" fontId="5" fillId="0" borderId="37" xfId="36" applyNumberFormat="1" applyFont="1" applyFill="1" applyBorder="1" applyAlignment="1" applyProtection="1">
      <alignment horizontal="center"/>
    </xf>
    <xf numFmtId="0" fontId="5" fillId="0" borderId="60" xfId="36" applyNumberFormat="1" applyFont="1" applyFill="1" applyBorder="1" applyAlignment="1" applyProtection="1">
      <alignment horizontal="center"/>
    </xf>
    <xf numFmtId="0" fontId="5" fillId="0" borderId="61" xfId="36" applyNumberFormat="1" applyFont="1" applyFill="1" applyBorder="1" applyAlignment="1" applyProtection="1">
      <alignment horizontal="center"/>
    </xf>
    <xf numFmtId="0" fontId="37" fillId="24" borderId="46" xfId="36" applyNumberFormat="1" applyFont="1" applyFill="1" applyBorder="1" applyAlignment="1" applyProtection="1">
      <alignment horizontal="left" vertical="top"/>
    </xf>
    <xf numFmtId="0" fontId="41" fillId="24" borderId="31" xfId="36" applyNumberFormat="1" applyFont="1" applyFill="1" applyBorder="1" applyAlignment="1" applyProtection="1">
      <alignment horizontal="left" vertical="top"/>
    </xf>
    <xf numFmtId="0" fontId="42" fillId="24" borderId="31" xfId="36" applyNumberFormat="1" applyFont="1" applyFill="1" applyBorder="1" applyAlignment="1" applyProtection="1">
      <alignment horizontal="left" vertical="top"/>
    </xf>
    <xf numFmtId="0" fontId="41" fillId="25" borderId="31" xfId="36" applyNumberFormat="1" applyFont="1" applyFill="1" applyBorder="1" applyAlignment="1" applyProtection="1">
      <alignment horizontal="left" vertical="top"/>
    </xf>
    <xf numFmtId="0" fontId="42" fillId="24" borderId="31" xfId="36" applyNumberFormat="1" applyFont="1" applyFill="1" applyBorder="1" applyAlignment="1" applyProtection="1">
      <alignment horizontal="center" vertical="top"/>
    </xf>
    <xf numFmtId="0" fontId="37" fillId="24" borderId="31" xfId="36" applyNumberFormat="1" applyFont="1" applyFill="1" applyBorder="1" applyAlignment="1" applyProtection="1">
      <alignment horizontal="left" vertical="top"/>
    </xf>
    <xf numFmtId="0" fontId="37" fillId="24" borderId="32" xfId="36" applyNumberFormat="1" applyFont="1" applyFill="1" applyBorder="1" applyAlignment="1" applyProtection="1">
      <alignment horizontal="left" vertical="top"/>
    </xf>
    <xf numFmtId="0" fontId="42" fillId="24" borderId="72" xfId="36" applyNumberFormat="1" applyFont="1" applyFill="1" applyBorder="1" applyAlignment="1" applyProtection="1">
      <alignment horizontal="center" vertical="top"/>
    </xf>
    <xf numFmtId="0" fontId="5" fillId="0" borderId="31" xfId="36" applyNumberFormat="1" applyFont="1" applyFill="1" applyBorder="1" applyAlignment="1" applyProtection="1">
      <alignment horizontal="center"/>
    </xf>
    <xf numFmtId="0" fontId="5" fillId="0" borderId="49" xfId="36" applyNumberFormat="1" applyFont="1" applyFill="1" applyBorder="1" applyAlignment="1" applyProtection="1">
      <alignment horizontal="center"/>
    </xf>
    <xf numFmtId="0" fontId="4" fillId="0" borderId="0" xfId="36" applyNumberFormat="1" applyFont="1" applyFill="1" applyBorder="1" applyAlignment="1" applyProtection="1">
      <alignment horizontal="left" vertical="top"/>
    </xf>
    <xf numFmtId="0" fontId="5" fillId="0" borderId="0" xfId="36" applyNumberFormat="1" applyFont="1" applyFill="1" applyBorder="1" applyAlignment="1" applyProtection="1">
      <alignment vertical="top" wrapText="1"/>
    </xf>
    <xf numFmtId="0" fontId="5" fillId="0" borderId="0" xfId="36" applyNumberFormat="1" applyFont="1" applyFill="1" applyBorder="1" applyAlignment="1" applyProtection="1">
      <alignment horizontal="left" vertical="top"/>
    </xf>
    <xf numFmtId="0" fontId="44" fillId="0" borderId="0" xfId="36" applyNumberFormat="1" applyFont="1" applyFill="1" applyBorder="1" applyAlignment="1" applyProtection="1">
      <alignment horizontal="left" vertical="center"/>
    </xf>
    <xf numFmtId="0" fontId="5" fillId="0" borderId="0" xfId="36" applyNumberFormat="1" applyFont="1" applyFill="1" applyBorder="1" applyAlignment="1" applyProtection="1">
      <alignment horizontal="right" vertical="top"/>
    </xf>
    <xf numFmtId="0" fontId="44" fillId="0" borderId="0" xfId="36" applyNumberFormat="1" applyFont="1" applyFill="1" applyBorder="1" applyAlignment="1" applyProtection="1">
      <alignment vertical="top"/>
    </xf>
    <xf numFmtId="0" fontId="3" fillId="0" borderId="0" xfId="36" applyNumberFormat="1" applyFont="1" applyFill="1" applyBorder="1" applyAlignment="1" applyProtection="1">
      <alignment vertical="top"/>
    </xf>
    <xf numFmtId="1" fontId="32" fillId="28" borderId="72" xfId="0" applyNumberFormat="1" applyFont="1" applyFill="1" applyBorder="1" applyAlignment="1" applyProtection="1">
      <alignment horizontal="center" vertical="center"/>
    </xf>
    <xf numFmtId="1" fontId="8" fillId="28" borderId="72" xfId="0" applyNumberFormat="1" applyFont="1" applyFill="1" applyBorder="1" applyAlignment="1" applyProtection="1">
      <alignment horizontal="center" vertical="center"/>
    </xf>
    <xf numFmtId="1" fontId="8" fillId="28" borderId="57" xfId="0" applyNumberFormat="1" applyFont="1" applyFill="1" applyBorder="1" applyAlignment="1" applyProtection="1">
      <alignment horizontal="center" vertical="center"/>
    </xf>
    <xf numFmtId="0" fontId="7" fillId="0" borderId="68" xfId="0" applyNumberFormat="1" applyFont="1" applyFill="1" applyBorder="1" applyAlignment="1" applyProtection="1">
      <alignment horizontal="center" vertical="center"/>
    </xf>
    <xf numFmtId="0" fontId="7" fillId="0" borderId="86" xfId="0" applyNumberFormat="1" applyFont="1" applyFill="1" applyBorder="1" applyAlignment="1" applyProtection="1">
      <alignment horizontal="center" vertical="center"/>
    </xf>
    <xf numFmtId="0" fontId="7" fillId="26" borderId="89" xfId="0" applyNumberFormat="1" applyFont="1" applyFill="1" applyBorder="1" applyAlignment="1" applyProtection="1">
      <alignment horizontal="center" vertical="center"/>
    </xf>
    <xf numFmtId="0" fontId="7" fillId="0" borderId="81" xfId="0" applyNumberFormat="1" applyFont="1" applyFill="1" applyBorder="1" applyAlignment="1" applyProtection="1">
      <alignment horizontal="left" vertical="center" wrapText="1"/>
    </xf>
    <xf numFmtId="0" fontId="8" fillId="27" borderId="39" xfId="0" applyNumberFormat="1" applyFont="1" applyFill="1" applyBorder="1" applyAlignment="1" applyProtection="1">
      <alignment horizontal="center" vertical="center"/>
    </xf>
    <xf numFmtId="0" fontId="7" fillId="0" borderId="30" xfId="0" applyNumberFormat="1" applyFont="1" applyFill="1" applyBorder="1" applyAlignment="1" applyProtection="1">
      <alignment horizontal="center"/>
    </xf>
    <xf numFmtId="0" fontId="7" fillId="24" borderId="19" xfId="0" applyNumberFormat="1" applyFont="1" applyFill="1" applyBorder="1" applyAlignment="1" applyProtection="1">
      <alignment horizontal="left" vertical="center" wrapText="1"/>
    </xf>
    <xf numFmtId="0" fontId="7" fillId="24" borderId="29" xfId="0" applyNumberFormat="1" applyFont="1" applyFill="1" applyBorder="1" applyAlignment="1" applyProtection="1">
      <alignment horizontal="center"/>
    </xf>
    <xf numFmtId="0" fontId="7" fillId="24" borderId="12" xfId="0" applyNumberFormat="1" applyFont="1" applyFill="1" applyBorder="1" applyAlignment="1" applyProtection="1">
      <alignment horizontal="center"/>
    </xf>
    <xf numFmtId="0" fontId="7" fillId="24" borderId="10" xfId="0" applyNumberFormat="1" applyFont="1" applyFill="1" applyBorder="1" applyAlignment="1" applyProtection="1">
      <alignment horizontal="center"/>
    </xf>
    <xf numFmtId="0" fontId="7" fillId="26" borderId="29" xfId="0" applyNumberFormat="1" applyFont="1" applyFill="1" applyBorder="1" applyAlignment="1" applyProtection="1">
      <alignment horizontal="center"/>
    </xf>
    <xf numFmtId="0" fontId="7" fillId="0" borderId="12" xfId="0" applyNumberFormat="1" applyFont="1" applyFill="1" applyBorder="1" applyAlignment="1" applyProtection="1">
      <alignment horizontal="center"/>
    </xf>
    <xf numFmtId="0" fontId="7" fillId="27" borderId="30" xfId="0" applyNumberFormat="1" applyFont="1" applyFill="1" applyBorder="1" applyAlignment="1" applyProtection="1">
      <alignment horizontal="center"/>
    </xf>
    <xf numFmtId="0" fontId="7" fillId="24" borderId="75" xfId="0" applyNumberFormat="1" applyFont="1" applyFill="1" applyBorder="1" applyAlignment="1" applyProtection="1">
      <alignment horizontal="center"/>
    </xf>
    <xf numFmtId="0" fontId="8" fillId="26" borderId="72" xfId="0" applyNumberFormat="1" applyFont="1" applyFill="1" applyBorder="1" applyAlignment="1" applyProtection="1">
      <alignment horizontal="center" vertical="center"/>
    </xf>
    <xf numFmtId="0" fontId="8" fillId="26" borderId="46" xfId="0" applyNumberFormat="1" applyFont="1" applyFill="1" applyBorder="1" applyAlignment="1" applyProtection="1">
      <alignment horizontal="center" vertical="center"/>
    </xf>
    <xf numFmtId="0" fontId="7" fillId="0" borderId="31" xfId="0" applyNumberFormat="1" applyFont="1" applyFill="1" applyBorder="1" applyAlignment="1" applyProtection="1">
      <alignment horizontal="center" vertical="center"/>
    </xf>
    <xf numFmtId="0" fontId="7" fillId="24" borderId="13" xfId="0" applyNumberFormat="1" applyFont="1" applyFill="1" applyBorder="1" applyAlignment="1" applyProtection="1">
      <alignment horizontal="left" vertical="center" wrapText="1"/>
    </xf>
    <xf numFmtId="0" fontId="7" fillId="24" borderId="13" xfId="0" applyNumberFormat="1" applyFont="1" applyFill="1" applyBorder="1" applyAlignment="1" applyProtection="1">
      <alignment horizontal="center"/>
    </xf>
    <xf numFmtId="0" fontId="7" fillId="26" borderId="13" xfId="0" applyNumberFormat="1" applyFont="1" applyFill="1" applyBorder="1" applyAlignment="1" applyProtection="1">
      <alignment horizontal="center" vertical="center"/>
    </xf>
    <xf numFmtId="0" fontId="47" fillId="0" borderId="74" xfId="0" applyNumberFormat="1" applyFont="1" applyFill="1" applyBorder="1" applyAlignment="1" applyProtection="1">
      <alignment horizontal="left" vertical="top"/>
    </xf>
    <xf numFmtId="0" fontId="47" fillId="0" borderId="87" xfId="0" applyNumberFormat="1" applyFont="1" applyFill="1" applyBorder="1" applyAlignment="1" applyProtection="1">
      <alignment horizontal="left" vertical="top"/>
    </xf>
    <xf numFmtId="0" fontId="7" fillId="24" borderId="33" xfId="0" applyNumberFormat="1" applyFont="1" applyFill="1" applyBorder="1" applyAlignment="1" applyProtection="1">
      <alignment horizontal="left" vertical="center" wrapText="1"/>
    </xf>
    <xf numFmtId="0" fontId="7" fillId="24" borderId="26" xfId="0" applyNumberFormat="1" applyFont="1" applyFill="1" applyBorder="1" applyAlignment="1" applyProtection="1">
      <alignment horizontal="left" vertical="center" wrapText="1"/>
    </xf>
    <xf numFmtId="0" fontId="7" fillId="24" borderId="26" xfId="0" applyNumberFormat="1" applyFont="1" applyFill="1" applyBorder="1" applyAlignment="1" applyProtection="1">
      <alignment horizontal="center"/>
    </xf>
    <xf numFmtId="0" fontId="7" fillId="0" borderId="26" xfId="0" applyNumberFormat="1" applyFont="1" applyFill="1" applyBorder="1" applyAlignment="1" applyProtection="1">
      <alignment horizontal="center"/>
    </xf>
    <xf numFmtId="0" fontId="7" fillId="24" borderId="35" xfId="0" applyNumberFormat="1" applyFont="1" applyFill="1" applyBorder="1" applyAlignment="1" applyProtection="1">
      <alignment horizontal="center"/>
    </xf>
    <xf numFmtId="0" fontId="7" fillId="24" borderId="50" xfId="0" applyNumberFormat="1" applyFont="1" applyFill="1" applyBorder="1" applyAlignment="1" applyProtection="1">
      <alignment horizontal="center"/>
    </xf>
    <xf numFmtId="0" fontId="7" fillId="26" borderId="39" xfId="0" applyNumberFormat="1" applyFont="1" applyFill="1" applyBorder="1" applyAlignment="1" applyProtection="1">
      <alignment horizontal="center"/>
    </xf>
    <xf numFmtId="0" fontId="7" fillId="26" borderId="64" xfId="0" applyNumberFormat="1" applyFont="1" applyFill="1" applyBorder="1" applyAlignment="1" applyProtection="1">
      <alignment horizontal="center"/>
    </xf>
    <xf numFmtId="0" fontId="7" fillId="27" borderId="75" xfId="0" applyNumberFormat="1" applyFont="1" applyFill="1" applyBorder="1" applyAlignment="1" applyProtection="1">
      <alignment horizontal="center"/>
    </xf>
    <xf numFmtId="0" fontId="7" fillId="26" borderId="64" xfId="0" applyNumberFormat="1" applyFont="1" applyFill="1" applyBorder="1" applyAlignment="1" applyProtection="1">
      <alignment horizontal="center" vertical="center"/>
    </xf>
    <xf numFmtId="0" fontId="7" fillId="24" borderId="12" xfId="0" applyNumberFormat="1" applyFont="1" applyFill="1" applyBorder="1" applyAlignment="1" applyProtection="1">
      <alignment horizontal="center" vertical="center" wrapText="1"/>
    </xf>
    <xf numFmtId="0" fontId="7" fillId="24" borderId="10" xfId="0" applyNumberFormat="1" applyFont="1" applyFill="1" applyBorder="1" applyAlignment="1" applyProtection="1">
      <alignment horizontal="center" vertical="center" wrapText="1"/>
    </xf>
    <xf numFmtId="0" fontId="7" fillId="27" borderId="30" xfId="0" applyNumberFormat="1" applyFont="1" applyFill="1" applyBorder="1" applyAlignment="1" applyProtection="1">
      <alignment horizontal="center" vertical="center"/>
    </xf>
    <xf numFmtId="0" fontId="7" fillId="27" borderId="10" xfId="0" applyNumberFormat="1" applyFont="1" applyFill="1" applyBorder="1" applyAlignment="1" applyProtection="1">
      <alignment horizontal="center" vertical="center"/>
    </xf>
    <xf numFmtId="0" fontId="7" fillId="24" borderId="13" xfId="0" applyNumberFormat="1" applyFont="1" applyFill="1" applyBorder="1" applyAlignment="1" applyProtection="1">
      <alignment horizontal="left" wrapText="1"/>
    </xf>
    <xf numFmtId="0" fontId="5" fillId="0" borderId="13" xfId="0" applyNumberFormat="1" applyFont="1" applyFill="1" applyBorder="1" applyAlignment="1" applyProtection="1">
      <alignment vertical="top"/>
    </xf>
    <xf numFmtId="0" fontId="8" fillId="24" borderId="31" xfId="0" applyNumberFormat="1" applyFont="1" applyFill="1" applyBorder="1" applyAlignment="1" applyProtection="1">
      <alignment horizontal="left" vertical="center" wrapText="1"/>
    </xf>
    <xf numFmtId="0" fontId="7" fillId="24" borderId="31" xfId="0" applyNumberFormat="1" applyFont="1" applyFill="1" applyBorder="1" applyAlignment="1" applyProtection="1">
      <alignment horizontal="center"/>
    </xf>
    <xf numFmtId="0" fontId="7" fillId="26" borderId="13" xfId="0" applyNumberFormat="1" applyFont="1" applyFill="1" applyBorder="1" applyAlignment="1" applyProtection="1">
      <alignment horizontal="center"/>
    </xf>
    <xf numFmtId="0" fontId="7" fillId="27" borderId="13" xfId="0" applyNumberFormat="1" applyFont="1" applyFill="1" applyBorder="1" applyAlignment="1" applyProtection="1">
      <alignment horizontal="center"/>
    </xf>
    <xf numFmtId="0" fontId="48" fillId="24" borderId="65" xfId="0" applyNumberFormat="1" applyFont="1" applyFill="1" applyBorder="1" applyAlignment="1" applyProtection="1">
      <alignment horizontal="left" vertical="top"/>
    </xf>
    <xf numFmtId="0" fontId="47" fillId="0" borderId="13" xfId="0" applyNumberFormat="1" applyFont="1" applyFill="1" applyBorder="1" applyAlignment="1" applyProtection="1">
      <alignment horizontal="left" vertical="top"/>
    </xf>
    <xf numFmtId="0" fontId="31" fillId="27" borderId="13" xfId="0" applyNumberFormat="1" applyFont="1" applyFill="1" applyBorder="1" applyAlignment="1" applyProtection="1">
      <alignment horizontal="center" vertical="center"/>
    </xf>
    <xf numFmtId="1" fontId="8" fillId="26" borderId="57" xfId="0" applyNumberFormat="1" applyFont="1" applyFill="1" applyBorder="1" applyAlignment="1" applyProtection="1">
      <alignment horizontal="center" vertical="center"/>
    </xf>
    <xf numFmtId="1" fontId="8" fillId="26" borderId="62" xfId="0" applyNumberFormat="1" applyFont="1" applyFill="1" applyBorder="1" applyAlignment="1" applyProtection="1">
      <alignment horizontal="center" vertical="center"/>
    </xf>
    <xf numFmtId="0" fontId="8" fillId="26" borderId="31" xfId="0" applyNumberFormat="1" applyFont="1" applyFill="1" applyBorder="1" applyAlignment="1" applyProtection="1">
      <alignment horizontal="center" vertical="center"/>
    </xf>
    <xf numFmtId="0" fontId="8" fillId="24" borderId="61" xfId="0" applyNumberFormat="1" applyFont="1" applyFill="1" applyBorder="1" applyAlignment="1" applyProtection="1">
      <alignment horizontal="center" vertical="top"/>
    </xf>
    <xf numFmtId="0" fontId="8" fillId="24" borderId="53" xfId="0" applyNumberFormat="1" applyFont="1" applyFill="1" applyBorder="1" applyAlignment="1" applyProtection="1">
      <alignment horizontal="left" vertical="top" wrapText="1"/>
    </xf>
    <xf numFmtId="0" fontId="7" fillId="24" borderId="34" xfId="0" applyNumberFormat="1" applyFont="1" applyFill="1" applyBorder="1" applyAlignment="1" applyProtection="1">
      <alignment horizontal="center" vertical="top"/>
    </xf>
    <xf numFmtId="0" fontId="7" fillId="24" borderId="62" xfId="0" applyNumberFormat="1" applyFont="1" applyFill="1" applyBorder="1" applyAlignment="1" applyProtection="1">
      <alignment vertical="center" wrapText="1"/>
    </xf>
    <xf numFmtId="0" fontId="7" fillId="24" borderId="75" xfId="0" applyNumberFormat="1" applyFont="1" applyFill="1" applyBorder="1" applyAlignment="1" applyProtection="1">
      <alignment horizontal="center" vertical="top"/>
    </xf>
    <xf numFmtId="0" fontId="7" fillId="0" borderId="30" xfId="0" applyFont="1" applyFill="1" applyBorder="1" applyAlignment="1">
      <alignment horizontal="center"/>
    </xf>
    <xf numFmtId="0" fontId="7" fillId="0" borderId="51" xfId="0" applyNumberFormat="1" applyFont="1" applyFill="1" applyBorder="1" applyAlignment="1" applyProtection="1">
      <alignment horizontal="center" vertical="top"/>
    </xf>
    <xf numFmtId="0" fontId="7" fillId="0" borderId="26" xfId="0" applyNumberFormat="1" applyFont="1" applyFill="1" applyBorder="1" applyAlignment="1" applyProtection="1">
      <alignment horizontal="center" vertical="top"/>
    </xf>
    <xf numFmtId="1" fontId="32" fillId="28" borderId="71" xfId="0" applyNumberFormat="1" applyFont="1" applyFill="1" applyBorder="1" applyAlignment="1" applyProtection="1">
      <alignment horizontal="center" vertical="center"/>
    </xf>
    <xf numFmtId="0" fontId="7" fillId="0" borderId="51" xfId="0" applyFont="1" applyFill="1" applyBorder="1" applyAlignment="1">
      <alignment horizontal="center"/>
    </xf>
    <xf numFmtId="0" fontId="7" fillId="0" borderId="26" xfId="0" applyFont="1" applyFill="1" applyBorder="1" applyAlignment="1">
      <alignment horizontal="center"/>
    </xf>
    <xf numFmtId="0" fontId="7" fillId="0" borderId="50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31" fillId="0" borderId="50" xfId="0" applyNumberFormat="1" applyFont="1" applyFill="1" applyBorder="1" applyAlignment="1" applyProtection="1">
      <alignment horizontal="center" vertical="center" wrapText="1"/>
    </xf>
    <xf numFmtId="0" fontId="7" fillId="26" borderId="64" xfId="0" applyFont="1" applyFill="1" applyBorder="1" applyAlignment="1">
      <alignment horizontal="center"/>
    </xf>
    <xf numFmtId="0" fontId="7" fillId="27" borderId="75" xfId="0" applyFont="1" applyFill="1" applyBorder="1" applyAlignment="1">
      <alignment horizontal="center"/>
    </xf>
    <xf numFmtId="0" fontId="7" fillId="26" borderId="68" xfId="0" applyFont="1" applyFill="1" applyBorder="1" applyAlignment="1">
      <alignment horizontal="center"/>
    </xf>
    <xf numFmtId="0" fontId="7" fillId="27" borderId="30" xfId="0" applyFont="1" applyFill="1" applyBorder="1" applyAlignment="1">
      <alignment horizontal="center"/>
    </xf>
    <xf numFmtId="0" fontId="7" fillId="26" borderId="51" xfId="0" applyFont="1" applyFill="1" applyBorder="1" applyAlignment="1">
      <alignment horizontal="center"/>
    </xf>
    <xf numFmtId="0" fontId="7" fillId="0" borderId="26" xfId="0" applyNumberFormat="1" applyFont="1" applyFill="1" applyBorder="1" applyAlignment="1" applyProtection="1">
      <alignment horizontal="center" vertical="center" wrapText="1"/>
    </xf>
    <xf numFmtId="0" fontId="8" fillId="27" borderId="75" xfId="0" applyNumberFormat="1" applyFont="1" applyFill="1" applyBorder="1" applyAlignment="1" applyProtection="1">
      <alignment horizontal="center" vertical="center" wrapText="1"/>
    </xf>
    <xf numFmtId="1" fontId="8" fillId="26" borderId="72" xfId="0" applyNumberFormat="1" applyFont="1" applyFill="1" applyBorder="1" applyAlignment="1" applyProtection="1">
      <alignment horizontal="center" vertical="center"/>
    </xf>
    <xf numFmtId="0" fontId="7" fillId="0" borderId="13" xfId="0" applyNumberFormat="1" applyFont="1" applyFill="1" applyBorder="1" applyAlignment="1" applyProtection="1">
      <alignment horizontal="left" vertical="top" wrapText="1"/>
    </xf>
    <xf numFmtId="0" fontId="7" fillId="27" borderId="13" xfId="0" applyFont="1" applyFill="1" applyBorder="1" applyAlignment="1">
      <alignment horizontal="center"/>
    </xf>
    <xf numFmtId="0" fontId="31" fillId="0" borderId="13" xfId="0" applyNumberFormat="1" applyFont="1" applyFill="1" applyBorder="1" applyAlignment="1" applyProtection="1">
      <alignment horizontal="center" vertical="center" wrapText="1"/>
    </xf>
    <xf numFmtId="0" fontId="7" fillId="26" borderId="13" xfId="0" applyFont="1" applyFill="1" applyBorder="1" applyAlignment="1">
      <alignment horizontal="center"/>
    </xf>
    <xf numFmtId="0" fontId="8" fillId="27" borderId="13" xfId="0" applyNumberFormat="1" applyFont="1" applyFill="1" applyBorder="1" applyAlignment="1" applyProtection="1">
      <alignment horizontal="center" vertical="center" wrapText="1"/>
    </xf>
    <xf numFmtId="0" fontId="7" fillId="24" borderId="86" xfId="0" applyNumberFormat="1" applyFont="1" applyFill="1" applyBorder="1" applyAlignment="1" applyProtection="1">
      <alignment horizontal="left" wrapText="1"/>
    </xf>
    <xf numFmtId="0" fontId="7" fillId="0" borderId="83" xfId="0" applyNumberFormat="1" applyFont="1" applyFill="1" applyBorder="1" applyAlignment="1" applyProtection="1">
      <alignment horizontal="left" vertical="top" wrapText="1"/>
    </xf>
    <xf numFmtId="0" fontId="7" fillId="0" borderId="83" xfId="0" applyNumberFormat="1" applyFont="1" applyFill="1" applyBorder="1" applyAlignment="1" applyProtection="1">
      <alignment horizontal="left" vertical="top"/>
    </xf>
    <xf numFmtId="0" fontId="7" fillId="0" borderId="89" xfId="0" applyNumberFormat="1" applyFont="1" applyFill="1" applyBorder="1" applyAlignment="1" applyProtection="1">
      <alignment horizontal="left" vertical="center" wrapText="1"/>
    </xf>
    <xf numFmtId="0" fontId="7" fillId="0" borderId="64" xfId="0" applyNumberFormat="1" applyFont="1" applyFill="1" applyBorder="1" applyAlignment="1" applyProtection="1">
      <alignment horizontal="center" vertical="center"/>
    </xf>
    <xf numFmtId="0" fontId="7" fillId="0" borderId="50" xfId="0" applyNumberFormat="1" applyFont="1" applyFill="1" applyBorder="1" applyAlignment="1" applyProtection="1">
      <alignment horizontal="center" vertical="center"/>
    </xf>
    <xf numFmtId="1" fontId="8" fillId="26" borderId="70" xfId="0" applyNumberFormat="1" applyFont="1" applyFill="1" applyBorder="1" applyAlignment="1" applyProtection="1">
      <alignment horizontal="center" vertical="center"/>
    </xf>
    <xf numFmtId="0" fontId="7" fillId="0" borderId="27" xfId="0" applyNumberFormat="1" applyFont="1" applyFill="1" applyBorder="1" applyAlignment="1" applyProtection="1">
      <alignment horizontal="left" vertical="center" wrapText="1"/>
    </xf>
    <xf numFmtId="0" fontId="7" fillId="0" borderId="48" xfId="0" applyNumberFormat="1" applyFont="1" applyFill="1" applyBorder="1" applyAlignment="1" applyProtection="1">
      <alignment horizontal="center" vertical="center"/>
    </xf>
    <xf numFmtId="0" fontId="8" fillId="26" borderId="71" xfId="0" applyNumberFormat="1" applyFont="1" applyFill="1" applyBorder="1" applyAlignment="1" applyProtection="1">
      <alignment horizontal="center" vertical="center"/>
    </xf>
    <xf numFmtId="0" fontId="7" fillId="24" borderId="83" xfId="0" applyNumberFormat="1" applyFont="1" applyFill="1" applyBorder="1" applyAlignment="1" applyProtection="1">
      <alignment horizontal="left" vertical="top" wrapText="1"/>
    </xf>
    <xf numFmtId="0" fontId="7" fillId="0" borderId="13" xfId="0" applyNumberFormat="1" applyFont="1" applyFill="1" applyBorder="1" applyAlignment="1" applyProtection="1">
      <alignment horizontal="justify" vertical="center" wrapText="1"/>
    </xf>
    <xf numFmtId="0" fontId="7" fillId="0" borderId="26" xfId="0" applyNumberFormat="1" applyFont="1" applyFill="1" applyBorder="1" applyAlignment="1" applyProtection="1">
      <alignment horizontal="justify" vertical="center" wrapText="1"/>
    </xf>
    <xf numFmtId="0" fontId="8" fillId="26" borderId="70" xfId="0" applyNumberFormat="1" applyFont="1" applyFill="1" applyBorder="1" applyAlignment="1" applyProtection="1">
      <alignment horizontal="center" vertical="center"/>
    </xf>
    <xf numFmtId="0" fontId="7" fillId="0" borderId="63" xfId="0" applyNumberFormat="1" applyFont="1" applyFill="1" applyBorder="1" applyAlignment="1" applyProtection="1">
      <alignment horizontal="justify" vertical="center" wrapText="1"/>
    </xf>
    <xf numFmtId="0" fontId="8" fillId="26" borderId="13" xfId="0" applyNumberFormat="1" applyFont="1" applyFill="1" applyBorder="1" applyAlignment="1" applyProtection="1">
      <alignment horizontal="center" vertical="center"/>
    </xf>
    <xf numFmtId="0" fontId="7" fillId="0" borderId="25" xfId="0" applyNumberFormat="1" applyFont="1" applyFill="1" applyBorder="1" applyAlignment="1" applyProtection="1">
      <alignment horizontal="center" vertical="center"/>
    </xf>
    <xf numFmtId="0" fontId="7" fillId="26" borderId="28" xfId="0" applyNumberFormat="1" applyFont="1" applyFill="1" applyBorder="1" applyAlignment="1" applyProtection="1">
      <alignment horizontal="center"/>
    </xf>
    <xf numFmtId="0" fontId="7" fillId="26" borderId="26" xfId="0" applyNumberFormat="1" applyFont="1" applyFill="1" applyBorder="1" applyAlignment="1" applyProtection="1">
      <alignment horizontal="center"/>
    </xf>
    <xf numFmtId="0" fontId="7" fillId="27" borderId="26" xfId="0" applyNumberFormat="1" applyFont="1" applyFill="1" applyBorder="1" applyAlignment="1" applyProtection="1">
      <alignment horizontal="center"/>
    </xf>
    <xf numFmtId="0" fontId="8" fillId="26" borderId="37" xfId="0" applyNumberFormat="1" applyFont="1" applyFill="1" applyBorder="1" applyAlignment="1" applyProtection="1">
      <alignment horizontal="center" vertical="center"/>
    </xf>
    <xf numFmtId="0" fontId="8" fillId="27" borderId="33" xfId="0" applyNumberFormat="1" applyFont="1" applyFill="1" applyBorder="1" applyAlignment="1" applyProtection="1">
      <alignment horizontal="center"/>
    </xf>
    <xf numFmtId="0" fontId="8" fillId="0" borderId="33" xfId="0" applyNumberFormat="1" applyFont="1" applyFill="1" applyBorder="1" applyAlignment="1" applyProtection="1">
      <alignment horizontal="center"/>
    </xf>
    <xf numFmtId="0" fontId="7" fillId="26" borderId="33" xfId="0" applyNumberFormat="1" applyFont="1" applyFill="1" applyBorder="1" applyAlignment="1" applyProtection="1">
      <alignment horizontal="center"/>
    </xf>
    <xf numFmtId="0" fontId="7" fillId="27" borderId="33" xfId="0" applyNumberFormat="1" applyFont="1" applyFill="1" applyBorder="1" applyAlignment="1" applyProtection="1">
      <alignment horizontal="center"/>
    </xf>
    <xf numFmtId="0" fontId="8" fillId="27" borderId="13" xfId="0" applyNumberFormat="1" applyFont="1" applyFill="1" applyBorder="1" applyAlignment="1" applyProtection="1">
      <alignment horizontal="center"/>
    </xf>
    <xf numFmtId="0" fontId="8" fillId="0" borderId="13" xfId="0" applyNumberFormat="1" applyFont="1" applyFill="1" applyBorder="1" applyAlignment="1" applyProtection="1">
      <alignment horizontal="center"/>
    </xf>
    <xf numFmtId="0" fontId="8" fillId="0" borderId="26" xfId="0" applyNumberFormat="1" applyFont="1" applyFill="1" applyBorder="1" applyAlignment="1" applyProtection="1">
      <alignment horizontal="center"/>
    </xf>
    <xf numFmtId="0" fontId="8" fillId="27" borderId="26" xfId="0" applyNumberFormat="1" applyFont="1" applyFill="1" applyBorder="1" applyAlignment="1" applyProtection="1">
      <alignment horizontal="center"/>
    </xf>
    <xf numFmtId="0" fontId="8" fillId="26" borderId="33" xfId="0" applyNumberFormat="1" applyFont="1" applyFill="1" applyBorder="1" applyAlignment="1" applyProtection="1">
      <alignment horizontal="center"/>
    </xf>
    <xf numFmtId="0" fontId="7" fillId="27" borderId="26" xfId="0" applyNumberFormat="1" applyFont="1" applyFill="1" applyBorder="1" applyAlignment="1" applyProtection="1">
      <alignment horizontal="center" vertical="center"/>
    </xf>
    <xf numFmtId="0" fontId="7" fillId="27" borderId="36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top"/>
    </xf>
    <xf numFmtId="0" fontId="7" fillId="0" borderId="35" xfId="0" applyNumberFormat="1" applyFont="1" applyFill="1" applyBorder="1" applyAlignment="1" applyProtection="1">
      <alignment horizontal="center" vertical="top"/>
    </xf>
    <xf numFmtId="0" fontId="7" fillId="0" borderId="36" xfId="0" applyNumberFormat="1" applyFont="1" applyFill="1" applyBorder="1" applyAlignment="1" applyProtection="1">
      <alignment horizontal="center" vertical="top"/>
    </xf>
    <xf numFmtId="0" fontId="5" fillId="0" borderId="26" xfId="0" applyNumberFormat="1" applyFont="1" applyFill="1" applyBorder="1" applyAlignment="1" applyProtection="1">
      <alignment vertical="top"/>
    </xf>
    <xf numFmtId="0" fontId="5" fillId="0" borderId="33" xfId="0" applyNumberFormat="1" applyFont="1" applyFill="1" applyBorder="1" applyAlignment="1" applyProtection="1">
      <alignment vertical="top"/>
    </xf>
    <xf numFmtId="0" fontId="5" fillId="0" borderId="44" xfId="0" applyNumberFormat="1" applyFont="1" applyFill="1" applyBorder="1" applyAlignment="1" applyProtection="1">
      <alignment vertical="top"/>
    </xf>
    <xf numFmtId="0" fontId="5" fillId="0" borderId="18" xfId="0" applyNumberFormat="1" applyFont="1" applyFill="1" applyBorder="1" applyAlignment="1" applyProtection="1">
      <alignment vertical="top"/>
    </xf>
    <xf numFmtId="0" fontId="5" fillId="0" borderId="17" xfId="0" applyNumberFormat="1" applyFont="1" applyFill="1" applyBorder="1" applyAlignment="1" applyProtection="1">
      <alignment vertical="top"/>
    </xf>
    <xf numFmtId="0" fontId="5" fillId="0" borderId="15" xfId="0" applyNumberFormat="1" applyFont="1" applyFill="1" applyBorder="1" applyAlignment="1" applyProtection="1">
      <alignment vertical="top"/>
    </xf>
    <xf numFmtId="0" fontId="5" fillId="0" borderId="11" xfId="0" applyNumberFormat="1" applyFont="1" applyFill="1" applyBorder="1" applyAlignment="1" applyProtection="1">
      <alignment vertical="top"/>
    </xf>
    <xf numFmtId="0" fontId="5" fillId="0" borderId="20" xfId="0" applyNumberFormat="1" applyFont="1" applyFill="1" applyBorder="1" applyAlignment="1" applyProtection="1">
      <alignment vertical="top"/>
    </xf>
    <xf numFmtId="0" fontId="5" fillId="0" borderId="22" xfId="0" applyNumberFormat="1" applyFont="1" applyFill="1" applyBorder="1" applyAlignment="1" applyProtection="1">
      <alignment vertical="top"/>
    </xf>
    <xf numFmtId="0" fontId="5" fillId="0" borderId="21" xfId="0" applyNumberFormat="1" applyFont="1" applyFill="1" applyBorder="1" applyAlignment="1" applyProtection="1">
      <alignment vertical="top"/>
    </xf>
    <xf numFmtId="0" fontId="8" fillId="27" borderId="30" xfId="0" applyNumberFormat="1" applyFont="1" applyFill="1" applyBorder="1" applyAlignment="1" applyProtection="1">
      <alignment horizontal="center" vertical="center"/>
    </xf>
    <xf numFmtId="0" fontId="5" fillId="0" borderId="38" xfId="0" applyNumberFormat="1" applyFont="1" applyFill="1" applyBorder="1" applyAlignment="1" applyProtection="1">
      <alignment vertical="top"/>
    </xf>
    <xf numFmtId="0" fontId="7" fillId="24" borderId="55" xfId="0" applyNumberFormat="1" applyFont="1" applyFill="1" applyBorder="1" applyAlignment="1" applyProtection="1"/>
    <xf numFmtId="0" fontId="7" fillId="24" borderId="87" xfId="0" applyNumberFormat="1" applyFont="1" applyFill="1" applyBorder="1" applyAlignment="1" applyProtection="1">
      <alignment horizontal="left" wrapText="1"/>
    </xf>
    <xf numFmtId="0" fontId="7" fillId="24" borderId="35" xfId="0" applyNumberFormat="1" applyFont="1" applyFill="1" applyBorder="1" applyAlignment="1" applyProtection="1">
      <alignment horizontal="left" wrapText="1"/>
    </xf>
    <xf numFmtId="0" fontId="7" fillId="27" borderId="86" xfId="0" applyNumberFormat="1" applyFont="1" applyFill="1" applyBorder="1" applyAlignment="1" applyProtection="1">
      <alignment horizontal="center" vertical="center"/>
    </xf>
    <xf numFmtId="0" fontId="8" fillId="26" borderId="26" xfId="0" applyNumberFormat="1" applyFont="1" applyFill="1" applyBorder="1" applyAlignment="1" applyProtection="1">
      <alignment horizontal="center" vertical="center"/>
    </xf>
    <xf numFmtId="0" fontId="7" fillId="26" borderId="26" xfId="0" applyNumberFormat="1" applyFont="1" applyFill="1" applyBorder="1" applyAlignment="1" applyProtection="1">
      <alignment horizontal="center" vertical="center"/>
    </xf>
    <xf numFmtId="0" fontId="7" fillId="24" borderId="50" xfId="0" applyNumberFormat="1" applyFont="1" applyFill="1" applyBorder="1" applyAlignment="1" applyProtection="1">
      <alignment horizontal="left" wrapText="1"/>
    </xf>
    <xf numFmtId="0" fontId="31" fillId="27" borderId="26" xfId="0" applyNumberFormat="1" applyFont="1" applyFill="1" applyBorder="1" applyAlignment="1" applyProtection="1">
      <alignment horizontal="center" vertical="center"/>
    </xf>
    <xf numFmtId="0" fontId="7" fillId="24" borderId="14" xfId="0" applyNumberFormat="1" applyFont="1" applyFill="1" applyBorder="1" applyAlignment="1" applyProtection="1">
      <alignment horizontal="left" wrapText="1"/>
    </xf>
    <xf numFmtId="0" fontId="7" fillId="26" borderId="33" xfId="0" applyNumberFormat="1" applyFont="1" applyFill="1" applyBorder="1" applyAlignment="1" applyProtection="1">
      <alignment horizontal="center" vertical="center"/>
    </xf>
    <xf numFmtId="0" fontId="31" fillId="27" borderId="33" xfId="0" applyNumberFormat="1" applyFont="1" applyFill="1" applyBorder="1" applyAlignment="1" applyProtection="1">
      <alignment horizontal="center" vertical="center"/>
    </xf>
    <xf numFmtId="0" fontId="7" fillId="27" borderId="75" xfId="0" applyNumberFormat="1" applyFont="1" applyFill="1" applyBorder="1" applyAlignment="1" applyProtection="1">
      <alignment horizontal="center" vertical="center" wrapText="1"/>
    </xf>
    <xf numFmtId="0" fontId="7" fillId="24" borderId="28" xfId="0" applyNumberFormat="1" applyFont="1" applyFill="1" applyBorder="1" applyAlignment="1" applyProtection="1">
      <alignment horizontal="center" vertical="top"/>
    </xf>
    <xf numFmtId="0" fontId="7" fillId="24" borderId="33" xfId="0" applyNumberFormat="1" applyFont="1" applyFill="1" applyBorder="1" applyAlignment="1" applyProtection="1">
      <alignment horizontal="center" vertical="top"/>
    </xf>
    <xf numFmtId="0" fontId="7" fillId="24" borderId="28" xfId="0" applyFont="1" applyFill="1" applyBorder="1" applyAlignment="1">
      <alignment horizontal="center"/>
    </xf>
    <xf numFmtId="0" fontId="7" fillId="24" borderId="33" xfId="0" applyFont="1" applyFill="1" applyBorder="1" applyAlignment="1">
      <alignment horizontal="center"/>
    </xf>
    <xf numFmtId="0" fontId="7" fillId="24" borderId="14" xfId="0" applyFont="1" applyFill="1" applyBorder="1" applyAlignment="1">
      <alignment horizontal="center"/>
    </xf>
    <xf numFmtId="0" fontId="7" fillId="0" borderId="26" xfId="0" applyNumberFormat="1" applyFont="1" applyFill="1" applyBorder="1" applyAlignment="1" applyProtection="1">
      <alignment horizontal="left" vertical="center" wrapText="1"/>
    </xf>
    <xf numFmtId="0" fontId="8" fillId="26" borderId="33" xfId="0" applyNumberFormat="1" applyFont="1" applyFill="1" applyBorder="1" applyAlignment="1" applyProtection="1">
      <alignment horizontal="center" vertical="center"/>
    </xf>
    <xf numFmtId="0" fontId="42" fillId="24" borderId="74" xfId="36" applyNumberFormat="1" applyFont="1" applyFill="1" applyBorder="1" applyAlignment="1" applyProtection="1">
      <alignment horizontal="center" vertical="top"/>
    </xf>
    <xf numFmtId="0" fontId="42" fillId="24" borderId="19" xfId="36" applyNumberFormat="1" applyFont="1" applyFill="1" applyBorder="1" applyAlignment="1" applyProtection="1">
      <alignment horizontal="center" vertical="top"/>
    </xf>
    <xf numFmtId="0" fontId="37" fillId="31" borderId="31" xfId="36" applyNumberFormat="1" applyFont="1" applyFill="1" applyBorder="1" applyAlignment="1" applyProtection="1">
      <alignment horizontal="left" vertical="top"/>
    </xf>
    <xf numFmtId="0" fontId="5" fillId="0" borderId="32" xfId="36" applyNumberFormat="1" applyFont="1" applyFill="1" applyBorder="1" applyAlignment="1" applyProtection="1">
      <alignment horizontal="center"/>
    </xf>
    <xf numFmtId="0" fontId="5" fillId="0" borderId="46" xfId="36" applyNumberFormat="1" applyFont="1" applyFill="1" applyBorder="1" applyAlignment="1" applyProtection="1">
      <alignment horizontal="center"/>
    </xf>
    <xf numFmtId="0" fontId="31" fillId="24" borderId="33" xfId="0" applyNumberFormat="1" applyFont="1" applyFill="1" applyBorder="1" applyAlignment="1" applyProtection="1">
      <alignment horizontal="center" vertical="center"/>
    </xf>
    <xf numFmtId="0" fontId="8" fillId="24" borderId="35" xfId="0" applyNumberFormat="1" applyFont="1" applyFill="1" applyBorder="1" applyAlignment="1" applyProtection="1">
      <alignment horizontal="center" vertical="center" wrapText="1"/>
    </xf>
    <xf numFmtId="0" fontId="8" fillId="24" borderId="38" xfId="0" applyNumberFormat="1" applyFont="1" applyFill="1" applyBorder="1" applyAlignment="1" applyProtection="1">
      <alignment horizontal="center" vertical="center"/>
    </xf>
    <xf numFmtId="0" fontId="8" fillId="26" borderId="62" xfId="0" applyNumberFormat="1" applyFont="1" applyFill="1" applyBorder="1" applyAlignment="1" applyProtection="1">
      <alignment horizontal="center" vertical="center"/>
    </xf>
    <xf numFmtId="0" fontId="8" fillId="26" borderId="82" xfId="0" applyNumberFormat="1" applyFont="1" applyFill="1" applyBorder="1" applyAlignment="1" applyProtection="1">
      <alignment horizontal="center" vertical="center"/>
    </xf>
    <xf numFmtId="0" fontId="8" fillId="26" borderId="84" xfId="0" applyNumberFormat="1" applyFont="1" applyFill="1" applyBorder="1" applyAlignment="1" applyProtection="1">
      <alignment horizontal="center" vertical="center"/>
    </xf>
    <xf numFmtId="0" fontId="7" fillId="24" borderId="51" xfId="0" applyNumberFormat="1" applyFont="1" applyFill="1" applyBorder="1" applyAlignment="1" applyProtection="1">
      <alignment horizontal="center" vertical="center"/>
    </xf>
    <xf numFmtId="0" fontId="8" fillId="26" borderId="12" xfId="0" applyNumberFormat="1" applyFont="1" applyFill="1" applyBorder="1" applyAlignment="1" applyProtection="1">
      <alignment horizontal="center" vertical="center"/>
    </xf>
    <xf numFmtId="0" fontId="7" fillId="24" borderId="27" xfId="0" applyNumberFormat="1" applyFont="1" applyFill="1" applyBorder="1" applyAlignment="1" applyProtection="1">
      <alignment horizontal="center" vertical="center"/>
    </xf>
    <xf numFmtId="0" fontId="7" fillId="24" borderId="55" xfId="0" applyNumberFormat="1" applyFont="1" applyFill="1" applyBorder="1" applyAlignment="1" applyProtection="1">
      <alignment horizontal="center" vertical="center"/>
    </xf>
    <xf numFmtId="0" fontId="8" fillId="26" borderId="40" xfId="0" applyNumberFormat="1" applyFont="1" applyFill="1" applyBorder="1" applyAlignment="1" applyProtection="1">
      <alignment horizontal="center" vertical="center"/>
    </xf>
    <xf numFmtId="0" fontId="7" fillId="28" borderId="62" xfId="0" applyNumberFormat="1" applyFont="1" applyFill="1" applyBorder="1" applyAlignment="1" applyProtection="1">
      <alignment horizontal="center" vertical="center"/>
    </xf>
    <xf numFmtId="0" fontId="7" fillId="28" borderId="82" xfId="0" applyNumberFormat="1" applyFont="1" applyFill="1" applyBorder="1" applyAlignment="1" applyProtection="1">
      <alignment horizontal="center" vertical="center"/>
    </xf>
    <xf numFmtId="0" fontId="8" fillId="26" borderId="65" xfId="0" applyNumberFormat="1" applyFont="1" applyFill="1" applyBorder="1" applyAlignment="1" applyProtection="1">
      <alignment horizontal="center" vertical="center"/>
    </xf>
    <xf numFmtId="0" fontId="7" fillId="28" borderId="83" xfId="0" applyNumberFormat="1" applyFont="1" applyFill="1" applyBorder="1" applyAlignment="1" applyProtection="1">
      <alignment horizontal="center" vertical="center"/>
    </xf>
    <xf numFmtId="0" fontId="7" fillId="27" borderId="12" xfId="0" applyNumberFormat="1" applyFont="1" applyFill="1" applyBorder="1" applyAlignment="1" applyProtection="1">
      <alignment horizontal="center" vertical="center"/>
    </xf>
    <xf numFmtId="0" fontId="8" fillId="26" borderId="26" xfId="0" applyNumberFormat="1" applyFont="1" applyFill="1" applyBorder="1" applyAlignment="1" applyProtection="1">
      <alignment horizontal="center"/>
    </xf>
    <xf numFmtId="0" fontId="8" fillId="26" borderId="59" xfId="0" applyNumberFormat="1" applyFont="1" applyFill="1" applyBorder="1" applyAlignment="1" applyProtection="1">
      <alignment horizontal="center" vertical="center"/>
    </xf>
    <xf numFmtId="0" fontId="8" fillId="26" borderId="61" xfId="0" applyNumberFormat="1" applyFont="1" applyFill="1" applyBorder="1" applyAlignment="1" applyProtection="1">
      <alignment horizontal="center" vertical="center"/>
    </xf>
    <xf numFmtId="0" fontId="46" fillId="26" borderId="71" xfId="0" applyFont="1" applyFill="1" applyBorder="1" applyAlignment="1">
      <alignment horizontal="left" vertical="top" wrapText="1"/>
    </xf>
    <xf numFmtId="0" fontId="8" fillId="26" borderId="42" xfId="0" applyNumberFormat="1" applyFont="1" applyFill="1" applyBorder="1" applyAlignment="1" applyProtection="1">
      <alignment horizontal="center" vertical="center" wrapText="1"/>
    </xf>
    <xf numFmtId="0" fontId="8" fillId="26" borderId="40" xfId="0" applyNumberFormat="1" applyFont="1" applyFill="1" applyBorder="1" applyAlignment="1" applyProtection="1">
      <alignment horizontal="center" vertical="center" wrapText="1"/>
    </xf>
    <xf numFmtId="0" fontId="8" fillId="26" borderId="45" xfId="0" applyNumberFormat="1" applyFont="1" applyFill="1" applyBorder="1" applyAlignment="1" applyProtection="1">
      <alignment horizontal="center" vertical="center" wrapText="1"/>
    </xf>
    <xf numFmtId="0" fontId="8" fillId="26" borderId="72" xfId="0" applyNumberFormat="1" applyFont="1" applyFill="1" applyBorder="1" applyAlignment="1" applyProtection="1">
      <alignment vertical="top" wrapText="1"/>
    </xf>
    <xf numFmtId="0" fontId="8" fillId="26" borderId="46" xfId="0" applyNumberFormat="1" applyFont="1" applyFill="1" applyBorder="1" applyAlignment="1" applyProtection="1">
      <alignment horizontal="center" vertical="center" wrapText="1"/>
    </xf>
    <xf numFmtId="0" fontId="8" fillId="26" borderId="31" xfId="0" applyNumberFormat="1" applyFont="1" applyFill="1" applyBorder="1" applyAlignment="1" applyProtection="1">
      <alignment horizontal="center" vertical="center" wrapText="1"/>
    </xf>
    <xf numFmtId="0" fontId="8" fillId="26" borderId="32" xfId="0" applyNumberFormat="1" applyFont="1" applyFill="1" applyBorder="1" applyAlignment="1" applyProtection="1">
      <alignment horizontal="center" vertical="center" wrapText="1"/>
    </xf>
    <xf numFmtId="0" fontId="8" fillId="26" borderId="60" xfId="0" applyNumberFormat="1" applyFont="1" applyFill="1" applyBorder="1" applyAlignment="1" applyProtection="1">
      <alignment horizontal="left" wrapText="1"/>
    </xf>
    <xf numFmtId="0" fontId="7" fillId="26" borderId="37" xfId="0" applyNumberFormat="1" applyFont="1" applyFill="1" applyBorder="1" applyAlignment="1" applyProtection="1">
      <alignment horizontal="center" vertical="center" wrapText="1"/>
    </xf>
    <xf numFmtId="0" fontId="7" fillId="26" borderId="37" xfId="0" applyNumberFormat="1" applyFont="1" applyFill="1" applyBorder="1" applyAlignment="1" applyProtection="1">
      <alignment horizontal="center" vertical="center"/>
    </xf>
    <xf numFmtId="0" fontId="7" fillId="0" borderId="73" xfId="0" applyNumberFormat="1" applyFont="1" applyFill="1" applyBorder="1" applyAlignment="1" applyProtection="1">
      <alignment vertical="top" wrapText="1"/>
    </xf>
    <xf numFmtId="0" fontId="7" fillId="0" borderId="35" xfId="0" applyNumberFormat="1" applyFont="1" applyFill="1" applyBorder="1" applyAlignment="1" applyProtection="1">
      <alignment vertical="top" wrapText="1"/>
    </xf>
    <xf numFmtId="0" fontId="7" fillId="0" borderId="23" xfId="0" applyNumberFormat="1" applyFont="1" applyFill="1" applyBorder="1" applyAlignment="1" applyProtection="1">
      <alignment vertical="top" wrapText="1"/>
    </xf>
    <xf numFmtId="0" fontId="7" fillId="0" borderId="55" xfId="0" applyNumberFormat="1" applyFont="1" applyFill="1" applyBorder="1" applyAlignment="1" applyProtection="1">
      <alignment vertical="top" wrapText="1"/>
    </xf>
    <xf numFmtId="0" fontId="7" fillId="24" borderId="18" xfId="0" applyNumberFormat="1" applyFont="1" applyFill="1" applyBorder="1" applyAlignment="1" applyProtection="1">
      <alignment horizontal="center" vertical="center" wrapText="1"/>
    </xf>
    <xf numFmtId="0" fontId="7" fillId="24" borderId="17" xfId="0" applyNumberFormat="1" applyFont="1" applyFill="1" applyBorder="1" applyAlignment="1" applyProtection="1">
      <alignment horizontal="center" vertical="center" wrapText="1"/>
    </xf>
    <xf numFmtId="0" fontId="7" fillId="24" borderId="39" xfId="0" applyNumberFormat="1" applyFont="1" applyFill="1" applyBorder="1" applyAlignment="1" applyProtection="1">
      <alignment horizontal="center" vertical="center" wrapText="1"/>
    </xf>
    <xf numFmtId="0" fontId="7" fillId="24" borderId="11" xfId="0" applyNumberFormat="1" applyFont="1" applyFill="1" applyBorder="1" applyAlignment="1" applyProtection="1">
      <alignment horizontal="center" vertical="center" wrapText="1"/>
    </xf>
    <xf numFmtId="0" fontId="7" fillId="24" borderId="64" xfId="0" applyNumberFormat="1" applyFont="1" applyFill="1" applyBorder="1" applyAlignment="1" applyProtection="1">
      <alignment horizontal="center" vertical="center" wrapText="1"/>
    </xf>
    <xf numFmtId="0" fontId="7" fillId="24" borderId="75" xfId="0" applyNumberFormat="1" applyFont="1" applyFill="1" applyBorder="1" applyAlignment="1" applyProtection="1">
      <alignment horizontal="center" vertical="center" wrapText="1"/>
    </xf>
    <xf numFmtId="0" fontId="7" fillId="24" borderId="20" xfId="0" applyNumberFormat="1" applyFont="1" applyFill="1" applyBorder="1" applyAlignment="1" applyProtection="1">
      <alignment horizontal="center" vertical="center" wrapText="1"/>
    </xf>
    <xf numFmtId="0" fontId="7" fillId="24" borderId="22" xfId="0" applyNumberFormat="1" applyFont="1" applyFill="1" applyBorder="1" applyAlignment="1" applyProtection="1">
      <alignment horizontal="center" vertical="center" wrapText="1"/>
    </xf>
    <xf numFmtId="0" fontId="7" fillId="24" borderId="21" xfId="0" applyNumberFormat="1" applyFont="1" applyFill="1" applyBorder="1" applyAlignment="1" applyProtection="1">
      <alignment horizontal="center" vertical="center" wrapText="1"/>
    </xf>
    <xf numFmtId="0" fontId="31" fillId="0" borderId="63" xfId="0" applyNumberFormat="1" applyFont="1" applyFill="1" applyBorder="1" applyAlignment="1" applyProtection="1">
      <alignment horizontal="left" vertical="top" wrapText="1"/>
    </xf>
    <xf numFmtId="0" fontId="8" fillId="32" borderId="57" xfId="0" applyNumberFormat="1" applyFont="1" applyFill="1" applyBorder="1" applyAlignment="1" applyProtection="1">
      <alignment horizontal="center" vertical="top"/>
    </xf>
    <xf numFmtId="0" fontId="8" fillId="32" borderId="58" xfId="0" applyNumberFormat="1" applyFont="1" applyFill="1" applyBorder="1" applyAlignment="1" applyProtection="1">
      <alignment horizontal="left" vertical="center" wrapText="1"/>
    </xf>
    <xf numFmtId="0" fontId="7" fillId="32" borderId="59" xfId="0" applyNumberFormat="1" applyFont="1" applyFill="1" applyBorder="1" applyAlignment="1" applyProtection="1">
      <alignment horizontal="center" vertical="center"/>
    </xf>
    <xf numFmtId="0" fontId="7" fillId="32" borderId="37" xfId="0" applyNumberFormat="1" applyFont="1" applyFill="1" applyBorder="1" applyAlignment="1" applyProtection="1">
      <alignment horizontal="center" vertical="center"/>
    </xf>
    <xf numFmtId="0" fontId="7" fillId="32" borderId="60" xfId="0" applyNumberFormat="1" applyFont="1" applyFill="1" applyBorder="1" applyAlignment="1" applyProtection="1">
      <alignment horizontal="center" vertical="center"/>
    </xf>
    <xf numFmtId="0" fontId="7" fillId="32" borderId="61" xfId="0" applyNumberFormat="1" applyFont="1" applyFill="1" applyBorder="1" applyAlignment="1" applyProtection="1">
      <alignment horizontal="center" vertical="center"/>
    </xf>
    <xf numFmtId="0" fontId="8" fillId="32" borderId="32" xfId="0" applyNumberFormat="1" applyFont="1" applyFill="1" applyBorder="1" applyAlignment="1" applyProtection="1">
      <alignment horizontal="center" vertical="top"/>
    </xf>
    <xf numFmtId="0" fontId="8" fillId="32" borderId="43" xfId="0" applyNumberFormat="1" applyFont="1" applyFill="1" applyBorder="1" applyAlignment="1" applyProtection="1">
      <alignment horizontal="left" vertical="top" wrapText="1"/>
    </xf>
    <xf numFmtId="0" fontId="8" fillId="32" borderId="69" xfId="0" applyNumberFormat="1" applyFont="1" applyFill="1" applyBorder="1" applyAlignment="1" applyProtection="1">
      <alignment horizontal="center" vertical="center" wrapText="1"/>
    </xf>
    <xf numFmtId="0" fontId="8" fillId="32" borderId="31" xfId="0" applyNumberFormat="1" applyFont="1" applyFill="1" applyBorder="1" applyAlignment="1" applyProtection="1">
      <alignment horizontal="center" vertical="center" wrapText="1"/>
    </xf>
    <xf numFmtId="0" fontId="8" fillId="32" borderId="49" xfId="0" applyNumberFormat="1" applyFont="1" applyFill="1" applyBorder="1" applyAlignment="1" applyProtection="1">
      <alignment horizontal="center" vertical="center" wrapText="1"/>
    </xf>
    <xf numFmtId="0" fontId="8" fillId="32" borderId="65" xfId="0" applyNumberFormat="1" applyFont="1" applyFill="1" applyBorder="1" applyAlignment="1" applyProtection="1">
      <alignment horizontal="center" vertical="center"/>
    </xf>
    <xf numFmtId="0" fontId="7" fillId="27" borderId="12" xfId="0" applyFont="1" applyFill="1" applyBorder="1" applyAlignment="1">
      <alignment horizontal="center"/>
    </xf>
    <xf numFmtId="0" fontId="31" fillId="0" borderId="26" xfId="0" applyNumberFormat="1" applyFont="1" applyFill="1" applyBorder="1" applyAlignment="1" applyProtection="1">
      <alignment horizontal="center" vertical="center" wrapText="1"/>
    </xf>
    <xf numFmtId="0" fontId="7" fillId="26" borderId="26" xfId="0" applyFont="1" applyFill="1" applyBorder="1" applyAlignment="1">
      <alignment horizontal="center"/>
    </xf>
    <xf numFmtId="0" fontId="7" fillId="27" borderId="26" xfId="0" applyFont="1" applyFill="1" applyBorder="1" applyAlignment="1">
      <alignment horizontal="center"/>
    </xf>
    <xf numFmtId="0" fontId="8" fillId="27" borderId="26" xfId="0" applyNumberFormat="1" applyFont="1" applyFill="1" applyBorder="1" applyAlignment="1" applyProtection="1">
      <alignment horizontal="center" vertical="center" wrapText="1"/>
    </xf>
    <xf numFmtId="0" fontId="8" fillId="32" borderId="37" xfId="0" applyNumberFormat="1" applyFont="1" applyFill="1" applyBorder="1" applyAlignment="1" applyProtection="1">
      <alignment horizontal="center" vertical="center"/>
    </xf>
    <xf numFmtId="0" fontId="8" fillId="32" borderId="61" xfId="0" applyNumberFormat="1" applyFont="1" applyFill="1" applyBorder="1" applyAlignment="1" applyProtection="1">
      <alignment horizontal="center" vertical="center"/>
    </xf>
    <xf numFmtId="0" fontId="7" fillId="24" borderId="71" xfId="0" applyNumberFormat="1" applyFont="1" applyFill="1" applyBorder="1" applyAlignment="1" applyProtection="1">
      <alignment vertical="center" wrapText="1"/>
    </xf>
    <xf numFmtId="0" fontId="7" fillId="24" borderId="30" xfId="0" applyNumberFormat="1" applyFont="1" applyFill="1" applyBorder="1" applyAlignment="1" applyProtection="1">
      <alignment horizontal="center" vertical="center"/>
    </xf>
    <xf numFmtId="0" fontId="7" fillId="24" borderId="68" xfId="0" applyNumberFormat="1" applyFont="1" applyFill="1" applyBorder="1" applyAlignment="1" applyProtection="1">
      <alignment horizontal="center" vertical="center"/>
    </xf>
    <xf numFmtId="0" fontId="7" fillId="28" borderId="12" xfId="0" applyNumberFormat="1" applyFont="1" applyFill="1" applyBorder="1" applyAlignment="1" applyProtection="1">
      <alignment horizontal="center" vertical="center"/>
    </xf>
    <xf numFmtId="0" fontId="7" fillId="0" borderId="63" xfId="0" applyNumberFormat="1" applyFont="1" applyFill="1" applyBorder="1" applyAlignment="1" applyProtection="1">
      <alignment vertical="center" wrapText="1"/>
    </xf>
    <xf numFmtId="0" fontId="8" fillId="26" borderId="63" xfId="0" applyNumberFormat="1" applyFont="1" applyFill="1" applyBorder="1" applyAlignment="1" applyProtection="1">
      <alignment horizontal="center" vertical="center"/>
    </xf>
    <xf numFmtId="0" fontId="8" fillId="32" borderId="59" xfId="0" applyNumberFormat="1" applyFont="1" applyFill="1" applyBorder="1" applyAlignment="1" applyProtection="1">
      <alignment horizontal="center" vertical="top"/>
    </xf>
    <xf numFmtId="0" fontId="8" fillId="32" borderId="37" xfId="0" applyNumberFormat="1" applyFont="1" applyFill="1" applyBorder="1" applyAlignment="1" applyProtection="1">
      <alignment horizontal="left" vertical="top"/>
    </xf>
    <xf numFmtId="0" fontId="46" fillId="24" borderId="74" xfId="0" applyFont="1" applyFill="1" applyBorder="1" applyAlignment="1">
      <alignment horizontal="left" vertical="top" wrapText="1"/>
    </xf>
    <xf numFmtId="0" fontId="8" fillId="24" borderId="12" xfId="0" applyNumberFormat="1" applyFont="1" applyFill="1" applyBorder="1" applyAlignment="1" applyProtection="1">
      <alignment horizontal="left" vertical="center" wrapText="1"/>
    </xf>
    <xf numFmtId="0" fontId="8" fillId="26" borderId="83" xfId="0" applyNumberFormat="1" applyFont="1" applyFill="1" applyBorder="1" applyAlignment="1" applyProtection="1">
      <alignment horizontal="center" vertical="center"/>
    </xf>
    <xf numFmtId="0" fontId="7" fillId="24" borderId="28" xfId="0" applyNumberFormat="1" applyFont="1" applyFill="1" applyBorder="1" applyAlignment="1" applyProtection="1">
      <alignment horizontal="center" vertical="top" wrapText="1"/>
    </xf>
    <xf numFmtId="0" fontId="7" fillId="24" borderId="33" xfId="0" applyNumberFormat="1" applyFont="1" applyFill="1" applyBorder="1" applyAlignment="1" applyProtection="1">
      <alignment horizontal="center" vertical="top" wrapText="1"/>
    </xf>
    <xf numFmtId="0" fontId="7" fillId="24" borderId="34" xfId="0" applyNumberFormat="1" applyFont="1" applyFill="1" applyBorder="1" applyAlignment="1" applyProtection="1">
      <alignment horizontal="center" vertical="top" wrapText="1"/>
    </xf>
    <xf numFmtId="0" fontId="7" fillId="24" borderId="13" xfId="0" applyNumberFormat="1" applyFont="1" applyFill="1" applyBorder="1" applyAlignment="1" applyProtection="1">
      <alignment horizontal="center" vertical="top" wrapText="1"/>
    </xf>
    <xf numFmtId="0" fontId="7" fillId="24" borderId="11" xfId="0" applyNumberFormat="1" applyFont="1" applyFill="1" applyBorder="1" applyAlignment="1" applyProtection="1">
      <alignment horizontal="center" vertical="top" wrapText="1"/>
    </xf>
    <xf numFmtId="0" fontId="7" fillId="24" borderId="38" xfId="0" applyNumberFormat="1" applyFont="1" applyFill="1" applyBorder="1" applyAlignment="1" applyProtection="1">
      <alignment horizontal="center" wrapText="1"/>
    </xf>
    <xf numFmtId="0" fontId="7" fillId="24" borderId="13" xfId="0" applyNumberFormat="1" applyFont="1" applyFill="1" applyBorder="1" applyAlignment="1" applyProtection="1">
      <alignment horizontal="center" wrapText="1"/>
    </xf>
    <xf numFmtId="0" fontId="7" fillId="24" borderId="11" xfId="0" applyNumberFormat="1" applyFont="1" applyFill="1" applyBorder="1" applyAlignment="1" applyProtection="1">
      <alignment horizontal="center" wrapText="1"/>
    </xf>
    <xf numFmtId="0" fontId="5" fillId="24" borderId="13" xfId="0" applyNumberFormat="1" applyFont="1" applyFill="1" applyBorder="1" applyAlignment="1" applyProtection="1">
      <alignment vertical="top"/>
    </xf>
    <xf numFmtId="0" fontId="8" fillId="26" borderId="49" xfId="0" applyNumberFormat="1" applyFont="1" applyFill="1" applyBorder="1" applyAlignment="1" applyProtection="1">
      <alignment horizontal="center" vertical="center"/>
    </xf>
    <xf numFmtId="0" fontId="7" fillId="24" borderId="38" xfId="0" applyNumberFormat="1" applyFont="1" applyFill="1" applyBorder="1" applyAlignment="1" applyProtection="1">
      <alignment horizontal="center"/>
    </xf>
    <xf numFmtId="0" fontId="7" fillId="24" borderId="44" xfId="0" applyNumberFormat="1" applyFont="1" applyFill="1" applyBorder="1" applyAlignment="1" applyProtection="1">
      <alignment horizontal="center"/>
    </xf>
    <xf numFmtId="0" fontId="7" fillId="24" borderId="18" xfId="0" applyNumberFormat="1" applyFont="1" applyFill="1" applyBorder="1" applyAlignment="1" applyProtection="1">
      <alignment horizontal="center"/>
    </xf>
    <xf numFmtId="0" fontId="7" fillId="24" borderId="17" xfId="0" applyNumberFormat="1" applyFont="1" applyFill="1" applyBorder="1" applyAlignment="1" applyProtection="1">
      <alignment horizontal="center"/>
    </xf>
    <xf numFmtId="0" fontId="7" fillId="24" borderId="15" xfId="0" applyNumberFormat="1" applyFont="1" applyFill="1" applyBorder="1" applyAlignment="1" applyProtection="1">
      <alignment horizontal="center"/>
    </xf>
    <xf numFmtId="0" fontId="7" fillId="24" borderId="11" xfId="0" applyNumberFormat="1" applyFont="1" applyFill="1" applyBorder="1" applyAlignment="1" applyProtection="1">
      <alignment horizontal="center"/>
    </xf>
    <xf numFmtId="0" fontId="8" fillId="26" borderId="20" xfId="0" applyNumberFormat="1" applyFont="1" applyFill="1" applyBorder="1" applyAlignment="1" applyProtection="1">
      <alignment horizontal="center" vertical="center"/>
    </xf>
    <xf numFmtId="0" fontId="8" fillId="26" borderId="22" xfId="0" applyNumberFormat="1" applyFont="1" applyFill="1" applyBorder="1" applyAlignment="1" applyProtection="1">
      <alignment horizontal="center" vertical="center"/>
    </xf>
    <xf numFmtId="0" fontId="8" fillId="26" borderId="21" xfId="0" applyNumberFormat="1" applyFont="1" applyFill="1" applyBorder="1" applyAlignment="1" applyProtection="1">
      <alignment horizontal="center" vertical="center"/>
    </xf>
    <xf numFmtId="0" fontId="8" fillId="26" borderId="36" xfId="0" applyNumberFormat="1" applyFont="1" applyFill="1" applyBorder="1" applyAlignment="1" applyProtection="1">
      <alignment horizontal="center" vertical="center"/>
    </xf>
    <xf numFmtId="0" fontId="7" fillId="24" borderId="15" xfId="0" applyNumberFormat="1" applyFont="1" applyFill="1" applyBorder="1" applyAlignment="1" applyProtection="1">
      <alignment horizontal="center" vertical="center"/>
    </xf>
    <xf numFmtId="0" fontId="7" fillId="24" borderId="20" xfId="0" applyNumberFormat="1" applyFont="1" applyFill="1" applyBorder="1" applyAlignment="1" applyProtection="1">
      <alignment horizontal="center" vertical="center"/>
    </xf>
    <xf numFmtId="0" fontId="7" fillId="24" borderId="22" xfId="0" applyNumberFormat="1" applyFont="1" applyFill="1" applyBorder="1" applyAlignment="1" applyProtection="1">
      <alignment horizontal="center"/>
    </xf>
    <xf numFmtId="0" fontId="7" fillId="24" borderId="21" xfId="0" applyNumberFormat="1" applyFont="1" applyFill="1" applyBorder="1" applyAlignment="1" applyProtection="1">
      <alignment horizontal="center"/>
    </xf>
    <xf numFmtId="0" fontId="7" fillId="24" borderId="36" xfId="0" applyNumberFormat="1" applyFont="1" applyFill="1" applyBorder="1" applyAlignment="1" applyProtection="1">
      <alignment horizontal="center"/>
    </xf>
    <xf numFmtId="0" fontId="47" fillId="24" borderId="33" xfId="0" applyNumberFormat="1" applyFont="1" applyFill="1" applyBorder="1" applyAlignment="1" applyProtection="1">
      <alignment horizontal="left" vertical="top"/>
    </xf>
    <xf numFmtId="0" fontId="47" fillId="24" borderId="44" xfId="0" applyNumberFormat="1" applyFont="1" applyFill="1" applyBorder="1" applyAlignment="1" applyProtection="1">
      <alignment horizontal="left" vertical="top" wrapText="1"/>
    </xf>
    <xf numFmtId="0" fontId="47" fillId="24" borderId="20" xfId="0" applyNumberFormat="1" applyFont="1" applyFill="1" applyBorder="1" applyAlignment="1" applyProtection="1">
      <alignment horizontal="left" vertical="top"/>
    </xf>
    <xf numFmtId="0" fontId="7" fillId="24" borderId="54" xfId="0" applyNumberFormat="1" applyFont="1" applyFill="1" applyBorder="1" applyAlignment="1" applyProtection="1">
      <alignment horizontal="left" vertical="center" wrapText="1"/>
    </xf>
    <xf numFmtId="0" fontId="7" fillId="24" borderId="36" xfId="0" applyNumberFormat="1" applyFont="1" applyFill="1" applyBorder="1" applyAlignment="1" applyProtection="1">
      <alignment horizontal="left" vertical="center" wrapText="1"/>
    </xf>
    <xf numFmtId="0" fontId="7" fillId="26" borderId="40" xfId="0" applyNumberFormat="1" applyFont="1" applyFill="1" applyBorder="1" applyAlignment="1" applyProtection="1">
      <alignment horizontal="center"/>
    </xf>
    <xf numFmtId="0" fontId="8" fillId="26" borderId="45" xfId="0" applyNumberFormat="1" applyFont="1" applyFill="1" applyBorder="1" applyAlignment="1" applyProtection="1">
      <alignment horizontal="center" vertical="center"/>
    </xf>
    <xf numFmtId="0" fontId="7" fillId="24" borderId="20" xfId="0" applyNumberFormat="1" applyFont="1" applyFill="1" applyBorder="1" applyAlignment="1" applyProtection="1">
      <alignment horizontal="center"/>
    </xf>
    <xf numFmtId="0" fontId="8" fillId="28" borderId="40" xfId="0" applyNumberFormat="1" applyFont="1" applyFill="1" applyBorder="1" applyAlignment="1" applyProtection="1">
      <alignment horizontal="center" vertical="center"/>
    </xf>
    <xf numFmtId="0" fontId="8" fillId="28" borderId="59" xfId="0" applyNumberFormat="1" applyFont="1" applyFill="1" applyBorder="1" applyAlignment="1" applyProtection="1">
      <alignment horizontal="center" vertical="center"/>
    </xf>
    <xf numFmtId="0" fontId="7" fillId="28" borderId="84" xfId="0" applyNumberFormat="1" applyFont="1" applyFill="1" applyBorder="1" applyAlignment="1" applyProtection="1">
      <alignment horizontal="center" vertical="center"/>
    </xf>
    <xf numFmtId="0" fontId="8" fillId="28" borderId="73" xfId="0" applyNumberFormat="1" applyFont="1" applyFill="1" applyBorder="1" applyAlignment="1" applyProtection="1">
      <alignment horizontal="center" vertical="center"/>
    </xf>
    <xf numFmtId="0" fontId="8" fillId="28" borderId="65" xfId="0" applyNumberFormat="1" applyFont="1" applyFill="1" applyBorder="1" applyAlignment="1" applyProtection="1">
      <alignment horizontal="center" vertical="center"/>
    </xf>
    <xf numFmtId="1" fontId="8" fillId="26" borderId="82" xfId="0" applyNumberFormat="1" applyFont="1" applyFill="1" applyBorder="1" applyAlignment="1" applyProtection="1">
      <alignment horizontal="center" vertical="center"/>
    </xf>
    <xf numFmtId="1" fontId="8" fillId="26" borderId="84" xfId="0" applyNumberFormat="1" applyFont="1" applyFill="1" applyBorder="1" applyAlignment="1" applyProtection="1">
      <alignment horizontal="center" vertical="center"/>
    </xf>
    <xf numFmtId="0" fontId="7" fillId="32" borderId="40" xfId="0" applyNumberFormat="1" applyFont="1" applyFill="1" applyBorder="1" applyAlignment="1" applyProtection="1">
      <alignment horizontal="center" vertical="center"/>
    </xf>
    <xf numFmtId="0" fontId="7" fillId="0" borderId="27" xfId="0" applyNumberFormat="1" applyFont="1" applyFill="1" applyBorder="1" applyAlignment="1" applyProtection="1">
      <alignment horizontal="center" vertical="center"/>
    </xf>
    <xf numFmtId="0" fontId="8" fillId="25" borderId="72" xfId="0" applyNumberFormat="1" applyFont="1" applyFill="1" applyBorder="1" applyAlignment="1" applyProtection="1">
      <alignment horizontal="center" vertical="center"/>
    </xf>
    <xf numFmtId="0" fontId="8" fillId="25" borderId="65" xfId="0" applyNumberFormat="1" applyFont="1" applyFill="1" applyBorder="1" applyAlignment="1" applyProtection="1">
      <alignment horizontal="center" vertical="center"/>
    </xf>
    <xf numFmtId="0" fontId="8" fillId="26" borderId="69" xfId="0" applyNumberFormat="1" applyFont="1" applyFill="1" applyBorder="1" applyAlignment="1" applyProtection="1">
      <alignment horizontal="center" vertical="center"/>
    </xf>
    <xf numFmtId="0" fontId="8" fillId="26" borderId="32" xfId="0" applyNumberFormat="1" applyFont="1" applyFill="1" applyBorder="1" applyAlignment="1" applyProtection="1">
      <alignment horizontal="center" vertical="center"/>
    </xf>
    <xf numFmtId="0" fontId="8" fillId="26" borderId="80" xfId="0" applyNumberFormat="1" applyFont="1" applyFill="1" applyBorder="1" applyAlignment="1" applyProtection="1">
      <alignment horizontal="center" vertical="center"/>
    </xf>
    <xf numFmtId="0" fontId="8" fillId="25" borderId="59" xfId="0" applyNumberFormat="1" applyFont="1" applyFill="1" applyBorder="1" applyAlignment="1" applyProtection="1">
      <alignment horizontal="center" vertical="center"/>
    </xf>
    <xf numFmtId="0" fontId="8" fillId="25" borderId="61" xfId="0" applyNumberFormat="1" applyFont="1" applyFill="1" applyBorder="1" applyAlignment="1" applyProtection="1">
      <alignment horizontal="center" vertical="center"/>
    </xf>
    <xf numFmtId="0" fontId="7" fillId="27" borderId="17" xfId="0" applyNumberFormat="1" applyFont="1" applyFill="1" applyBorder="1" applyAlignment="1" applyProtection="1">
      <alignment horizontal="center" vertical="center"/>
    </xf>
    <xf numFmtId="0" fontId="7" fillId="26" borderId="20" xfId="0" applyNumberFormat="1" applyFont="1" applyFill="1" applyBorder="1" applyAlignment="1" applyProtection="1">
      <alignment horizontal="center" vertical="center"/>
    </xf>
    <xf numFmtId="0" fontId="7" fillId="0" borderId="16" xfId="0" applyNumberFormat="1" applyFont="1" applyFill="1" applyBorder="1" applyAlignment="1" applyProtection="1">
      <alignment horizontal="center" vertical="center"/>
    </xf>
    <xf numFmtId="0" fontId="7" fillId="0" borderId="29" xfId="0" applyNumberFormat="1" applyFont="1" applyFill="1" applyBorder="1" applyAlignment="1" applyProtection="1">
      <alignment horizontal="center" vertical="center"/>
    </xf>
    <xf numFmtId="0" fontId="7" fillId="0" borderId="51" xfId="0" applyNumberFormat="1" applyFont="1" applyFill="1" applyBorder="1" applyAlignment="1" applyProtection="1">
      <alignment horizontal="center" vertical="center"/>
    </xf>
    <xf numFmtId="1" fontId="8" fillId="32" borderId="71" xfId="0" applyNumberFormat="1" applyFont="1" applyFill="1" applyBorder="1" applyAlignment="1" applyProtection="1">
      <alignment horizontal="center" vertical="center"/>
    </xf>
    <xf numFmtId="1" fontId="8" fillId="32" borderId="74" xfId="0" applyNumberFormat="1" applyFont="1" applyFill="1" applyBorder="1" applyAlignment="1" applyProtection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7" fillId="0" borderId="50" xfId="0" applyNumberFormat="1" applyFont="1" applyFill="1" applyBorder="1" applyAlignment="1" applyProtection="1">
      <alignment horizontal="center" vertical="top"/>
    </xf>
    <xf numFmtId="1" fontId="7" fillId="0" borderId="89" xfId="0" applyNumberFormat="1" applyFont="1" applyFill="1" applyBorder="1" applyAlignment="1" applyProtection="1">
      <alignment horizontal="center" vertical="top"/>
    </xf>
    <xf numFmtId="1" fontId="32" fillId="28" borderId="62" xfId="0" applyNumberFormat="1" applyFont="1" applyFill="1" applyBorder="1" applyAlignment="1" applyProtection="1">
      <alignment horizontal="center" vertical="center"/>
    </xf>
    <xf numFmtId="1" fontId="32" fillId="28" borderId="82" xfId="0" applyNumberFormat="1" applyFont="1" applyFill="1" applyBorder="1" applyAlignment="1" applyProtection="1">
      <alignment horizontal="center" vertical="center"/>
    </xf>
    <xf numFmtId="1" fontId="32" fillId="28" borderId="84" xfId="0" applyNumberFormat="1" applyFont="1" applyFill="1" applyBorder="1" applyAlignment="1" applyProtection="1">
      <alignment horizontal="center" vertical="center"/>
    </xf>
    <xf numFmtId="1" fontId="7" fillId="0" borderId="67" xfId="0" applyNumberFormat="1" applyFont="1" applyFill="1" applyBorder="1" applyAlignment="1" applyProtection="1">
      <alignment horizontal="center" vertical="center"/>
    </xf>
    <xf numFmtId="1" fontId="7" fillId="0" borderId="55" xfId="0" applyNumberFormat="1" applyFont="1" applyFill="1" applyBorder="1" applyAlignment="1" applyProtection="1">
      <alignment horizontal="center" vertical="top"/>
    </xf>
    <xf numFmtId="1" fontId="7" fillId="0" borderId="55" xfId="0" applyNumberFormat="1" applyFont="1" applyFill="1" applyBorder="1" applyAlignment="1" applyProtection="1">
      <alignment horizontal="center" vertical="center"/>
    </xf>
    <xf numFmtId="0" fontId="7" fillId="0" borderId="55" xfId="0" applyNumberFormat="1" applyFont="1" applyFill="1" applyBorder="1" applyAlignment="1" applyProtection="1">
      <alignment horizontal="center" vertical="center"/>
    </xf>
    <xf numFmtId="0" fontId="7" fillId="0" borderId="55" xfId="0" applyNumberFormat="1" applyFont="1" applyFill="1" applyBorder="1" applyAlignment="1" applyProtection="1">
      <alignment horizontal="center" vertical="top"/>
    </xf>
    <xf numFmtId="1" fontId="7" fillId="28" borderId="62" xfId="0" applyNumberFormat="1" applyFont="1" applyFill="1" applyBorder="1" applyAlignment="1" applyProtection="1">
      <alignment horizontal="center" vertical="center"/>
    </xf>
    <xf numFmtId="1" fontId="7" fillId="28" borderId="82" xfId="0" applyNumberFormat="1" applyFont="1" applyFill="1" applyBorder="1" applyAlignment="1" applyProtection="1">
      <alignment horizontal="center" vertical="center"/>
    </xf>
    <xf numFmtId="1" fontId="7" fillId="28" borderId="84" xfId="0" applyNumberFormat="1" applyFont="1" applyFill="1" applyBorder="1" applyAlignment="1" applyProtection="1">
      <alignment horizontal="center" vertical="center"/>
    </xf>
    <xf numFmtId="0" fontId="31" fillId="26" borderId="28" xfId="0" applyNumberFormat="1" applyFont="1" applyFill="1" applyBorder="1" applyAlignment="1" applyProtection="1">
      <alignment horizontal="center" vertical="center"/>
    </xf>
    <xf numFmtId="0" fontId="8" fillId="27" borderId="35" xfId="0" applyNumberFormat="1" applyFont="1" applyFill="1" applyBorder="1" applyAlignment="1" applyProtection="1">
      <alignment horizontal="center" vertical="center"/>
    </xf>
    <xf numFmtId="0" fontId="8" fillId="27" borderId="10" xfId="0" applyNumberFormat="1" applyFont="1" applyFill="1" applyBorder="1" applyAlignment="1" applyProtection="1">
      <alignment horizontal="center" vertical="center"/>
    </xf>
    <xf numFmtId="0" fontId="7" fillId="26" borderId="44" xfId="0" applyFont="1" applyFill="1" applyBorder="1" applyAlignment="1">
      <alignment horizontal="center" vertical="center"/>
    </xf>
    <xf numFmtId="0" fontId="7" fillId="26" borderId="69" xfId="0" applyNumberFormat="1" applyFont="1" applyFill="1" applyBorder="1" applyAlignment="1" applyProtection="1">
      <alignment horizontal="center" vertical="center"/>
    </xf>
    <xf numFmtId="0" fontId="7" fillId="27" borderId="32" xfId="0" applyNumberFormat="1" applyFont="1" applyFill="1" applyBorder="1" applyAlignment="1" applyProtection="1">
      <alignment horizontal="center" vertical="center"/>
    </xf>
    <xf numFmtId="0" fontId="7" fillId="27" borderId="38" xfId="0" applyNumberFormat="1" applyFont="1" applyFill="1" applyBorder="1" applyAlignment="1" applyProtection="1">
      <alignment horizontal="center" vertical="center"/>
    </xf>
    <xf numFmtId="0" fontId="8" fillId="26" borderId="19" xfId="0" applyNumberFormat="1" applyFont="1" applyFill="1" applyBorder="1" applyAlignment="1" applyProtection="1">
      <alignment horizontal="center" vertical="center"/>
    </xf>
    <xf numFmtId="0" fontId="7" fillId="26" borderId="66" xfId="0" applyNumberFormat="1" applyFont="1" applyFill="1" applyBorder="1" applyAlignment="1" applyProtection="1">
      <alignment horizontal="center" vertical="center"/>
    </xf>
    <xf numFmtId="0" fontId="7" fillId="0" borderId="40" xfId="0" applyNumberFormat="1" applyFont="1" applyFill="1" applyBorder="1" applyAlignment="1" applyProtection="1">
      <alignment horizontal="center" vertical="center"/>
    </xf>
    <xf numFmtId="0" fontId="7" fillId="27" borderId="25" xfId="0" applyNumberFormat="1" applyFont="1" applyFill="1" applyBorder="1" applyAlignment="1" applyProtection="1">
      <alignment horizontal="center" vertical="center"/>
    </xf>
    <xf numFmtId="0" fontId="8" fillId="27" borderId="11" xfId="0" applyNumberFormat="1" applyFont="1" applyFill="1" applyBorder="1" applyAlignment="1" applyProtection="1">
      <alignment horizontal="center" vertical="center"/>
    </xf>
    <xf numFmtId="0" fontId="41" fillId="24" borderId="37" xfId="36" applyNumberFormat="1" applyFont="1" applyFill="1" applyBorder="1" applyAlignment="1" applyProtection="1">
      <alignment horizontal="center" vertical="top"/>
    </xf>
    <xf numFmtId="0" fontId="5" fillId="0" borderId="52" xfId="36" applyNumberFormat="1" applyFont="1" applyFill="1" applyBorder="1" applyAlignment="1" applyProtection="1">
      <alignment horizontal="center" vertical="center"/>
    </xf>
    <xf numFmtId="0" fontId="5" fillId="0" borderId="57" xfId="36" applyNumberFormat="1" applyFont="1" applyFill="1" applyBorder="1" applyAlignment="1" applyProtection="1">
      <alignment horizontal="center" vertical="center"/>
    </xf>
    <xf numFmtId="0" fontId="5" fillId="0" borderId="81" xfId="36" applyNumberFormat="1" applyFont="1" applyFill="1" applyBorder="1" applyAlignment="1" applyProtection="1">
      <alignment horizontal="center" vertical="center"/>
    </xf>
    <xf numFmtId="0" fontId="44" fillId="0" borderId="59" xfId="36" applyNumberFormat="1" applyFont="1" applyFill="1" applyBorder="1" applyAlignment="1" applyProtection="1">
      <alignment horizontal="center"/>
    </xf>
    <xf numFmtId="0" fontId="8" fillId="26" borderId="73" xfId="0" applyNumberFormat="1" applyFont="1" applyFill="1" applyBorder="1" applyAlignment="1" applyProtection="1">
      <alignment horizontal="left" vertical="top" wrapText="1"/>
    </xf>
    <xf numFmtId="0" fontId="8" fillId="26" borderId="40" xfId="0" applyNumberFormat="1" applyFont="1" applyFill="1" applyBorder="1" applyAlignment="1" applyProtection="1">
      <alignment horizontal="left" vertical="center" wrapText="1"/>
    </xf>
    <xf numFmtId="0" fontId="8" fillId="26" borderId="72" xfId="0" applyNumberFormat="1" applyFont="1" applyFill="1" applyBorder="1" applyAlignment="1" applyProtection="1">
      <alignment horizontal="center" vertical="center" wrapText="1"/>
    </xf>
    <xf numFmtId="0" fontId="46" fillId="26" borderId="63" xfId="0" applyFont="1" applyFill="1" applyBorder="1" applyAlignment="1">
      <alignment horizontal="left" vertical="top" wrapText="1"/>
    </xf>
    <xf numFmtId="0" fontId="8" fillId="26" borderId="69" xfId="0" applyNumberFormat="1" applyFont="1" applyFill="1" applyBorder="1" applyAlignment="1" applyProtection="1">
      <alignment horizontal="center" vertical="center" wrapText="1"/>
    </xf>
    <xf numFmtId="0" fontId="8" fillId="32" borderId="69" xfId="0" applyNumberFormat="1" applyFont="1" applyFill="1" applyBorder="1" applyAlignment="1" applyProtection="1">
      <alignment horizontal="center" vertical="center"/>
    </xf>
    <xf numFmtId="0" fontId="8" fillId="27" borderId="57" xfId="0" applyFont="1" applyFill="1" applyBorder="1" applyAlignment="1">
      <alignment horizontal="center"/>
    </xf>
    <xf numFmtId="0" fontId="8" fillId="27" borderId="57" xfId="0" applyNumberFormat="1" applyFont="1" applyFill="1" applyBorder="1" applyAlignment="1" applyProtection="1">
      <alignment horizontal="left" vertical="top"/>
    </xf>
    <xf numFmtId="0" fontId="7" fillId="27" borderId="53" xfId="0" applyNumberFormat="1" applyFont="1" applyFill="1" applyBorder="1" applyAlignment="1" applyProtection="1">
      <alignment horizontal="center" vertical="top"/>
    </xf>
    <xf numFmtId="0" fontId="7" fillId="27" borderId="37" xfId="0" applyNumberFormat="1" applyFont="1" applyFill="1" applyBorder="1" applyAlignment="1" applyProtection="1">
      <alignment horizontal="center" vertical="top"/>
    </xf>
    <xf numFmtId="0" fontId="7" fillId="27" borderId="61" xfId="0" applyNumberFormat="1" applyFont="1" applyFill="1" applyBorder="1" applyAlignment="1" applyProtection="1">
      <alignment horizontal="center" vertical="top"/>
    </xf>
    <xf numFmtId="0" fontId="7" fillId="27" borderId="52" xfId="0" applyNumberFormat="1" applyFont="1" applyFill="1" applyBorder="1" applyAlignment="1" applyProtection="1">
      <alignment horizontal="center" vertical="top"/>
    </xf>
    <xf numFmtId="1" fontId="7" fillId="27" borderId="12" xfId="0" applyNumberFormat="1" applyFont="1" applyFill="1" applyBorder="1" applyAlignment="1" applyProtection="1">
      <alignment horizontal="center" vertical="center"/>
    </xf>
    <xf numFmtId="1" fontId="7" fillId="27" borderId="37" xfId="0" applyNumberFormat="1" applyFont="1" applyFill="1" applyBorder="1" applyAlignment="1" applyProtection="1">
      <alignment horizontal="center" vertical="center"/>
    </xf>
    <xf numFmtId="0" fontId="7" fillId="24" borderId="14" xfId="0" applyNumberFormat="1" applyFont="1" applyFill="1" applyBorder="1" applyAlignment="1" applyProtection="1">
      <alignment horizontal="center" vertical="top"/>
    </xf>
    <xf numFmtId="0" fontId="7" fillId="24" borderId="27" xfId="0" applyNumberFormat="1" applyFont="1" applyFill="1" applyBorder="1" applyAlignment="1" applyProtection="1">
      <alignment horizontal="center" vertical="top"/>
    </xf>
    <xf numFmtId="0" fontId="7" fillId="24" borderId="89" xfId="0" applyNumberFormat="1" applyFont="1" applyFill="1" applyBorder="1" applyAlignment="1" applyProtection="1">
      <alignment horizontal="center" vertical="top"/>
    </xf>
    <xf numFmtId="0" fontId="7" fillId="24" borderId="55" xfId="0" applyNumberFormat="1" applyFont="1" applyFill="1" applyBorder="1" applyAlignment="1" applyProtection="1">
      <alignment horizontal="center" vertical="top"/>
    </xf>
    <xf numFmtId="1" fontId="32" fillId="27" borderId="71" xfId="0" applyNumberFormat="1" applyFont="1" applyFill="1" applyBorder="1" applyAlignment="1" applyProtection="1">
      <alignment horizontal="center" vertical="center"/>
    </xf>
    <xf numFmtId="0" fontId="8" fillId="33" borderId="32" xfId="0" applyNumberFormat="1" applyFont="1" applyFill="1" applyBorder="1" applyAlignment="1" applyProtection="1">
      <alignment horizontal="center" vertical="top"/>
    </xf>
    <xf numFmtId="0" fontId="8" fillId="33" borderId="80" xfId="0" applyNumberFormat="1" applyFont="1" applyFill="1" applyBorder="1" applyAlignment="1" applyProtection="1">
      <alignment horizontal="left" vertical="top" wrapText="1"/>
    </xf>
    <xf numFmtId="0" fontId="8" fillId="33" borderId="46" xfId="0" applyNumberFormat="1" applyFont="1" applyFill="1" applyBorder="1" applyAlignment="1" applyProtection="1">
      <alignment horizontal="center" vertical="center"/>
    </xf>
    <xf numFmtId="0" fontId="8" fillId="33" borderId="31" xfId="0" applyNumberFormat="1" applyFont="1" applyFill="1" applyBorder="1" applyAlignment="1" applyProtection="1">
      <alignment horizontal="center" vertical="center"/>
    </xf>
    <xf numFmtId="0" fontId="8" fillId="33" borderId="32" xfId="0" applyNumberFormat="1" applyFont="1" applyFill="1" applyBorder="1" applyAlignment="1" applyProtection="1">
      <alignment horizontal="center" vertical="center"/>
    </xf>
    <xf numFmtId="0" fontId="8" fillId="33" borderId="72" xfId="0" applyNumberFormat="1" applyFont="1" applyFill="1" applyBorder="1" applyAlignment="1" applyProtection="1">
      <alignment horizontal="center" vertical="center"/>
    </xf>
    <xf numFmtId="0" fontId="7" fillId="33" borderId="46" xfId="0" applyNumberFormat="1" applyFont="1" applyFill="1" applyBorder="1" applyAlignment="1" applyProtection="1">
      <alignment horizontal="center" vertical="center"/>
    </xf>
    <xf numFmtId="0" fontId="7" fillId="33" borderId="31" xfId="0" applyNumberFormat="1" applyFont="1" applyFill="1" applyBorder="1" applyAlignment="1" applyProtection="1">
      <alignment horizontal="center" vertical="center"/>
    </xf>
    <xf numFmtId="0" fontId="7" fillId="33" borderId="49" xfId="0" applyNumberFormat="1" applyFont="1" applyFill="1" applyBorder="1" applyAlignment="1" applyProtection="1">
      <alignment horizontal="center" vertical="center"/>
    </xf>
    <xf numFmtId="0" fontId="5" fillId="33" borderId="59" xfId="0" applyNumberFormat="1" applyFont="1" applyFill="1" applyBorder="1" applyAlignment="1" applyProtection="1">
      <alignment vertical="top"/>
    </xf>
    <xf numFmtId="0" fontId="5" fillId="33" borderId="37" xfId="0" applyNumberFormat="1" applyFont="1" applyFill="1" applyBorder="1" applyAlignment="1" applyProtection="1">
      <alignment vertical="top"/>
    </xf>
    <xf numFmtId="0" fontId="7" fillId="33" borderId="37" xfId="0" applyNumberFormat="1" applyFont="1" applyFill="1" applyBorder="1" applyAlignment="1" applyProtection="1">
      <alignment vertical="top"/>
    </xf>
    <xf numFmtId="0" fontId="5" fillId="33" borderId="61" xfId="0" applyNumberFormat="1" applyFont="1" applyFill="1" applyBorder="1" applyAlignment="1" applyProtection="1">
      <alignment vertical="top"/>
    </xf>
    <xf numFmtId="0" fontId="8" fillId="33" borderId="61" xfId="0" applyNumberFormat="1" applyFont="1" applyFill="1" applyBorder="1" applyAlignment="1" applyProtection="1">
      <alignment horizontal="center" vertical="center"/>
    </xf>
    <xf numFmtId="0" fontId="8" fillId="33" borderId="79" xfId="0" applyNumberFormat="1" applyFont="1" applyFill="1" applyBorder="1" applyAlignment="1" applyProtection="1">
      <alignment horizontal="left" vertical="center" wrapText="1"/>
    </xf>
    <xf numFmtId="0" fontId="7" fillId="33" borderId="53" xfId="0" applyNumberFormat="1" applyFont="1" applyFill="1" applyBorder="1" applyAlignment="1" applyProtection="1">
      <alignment horizontal="center" vertical="center"/>
    </xf>
    <xf numFmtId="0" fontId="8" fillId="33" borderId="37" xfId="0" applyNumberFormat="1" applyFont="1" applyFill="1" applyBorder="1" applyAlignment="1" applyProtection="1">
      <alignment horizontal="center" vertical="center"/>
    </xf>
    <xf numFmtId="0" fontId="8" fillId="33" borderId="57" xfId="0" applyNumberFormat="1" applyFont="1" applyFill="1" applyBorder="1" applyAlignment="1" applyProtection="1">
      <alignment horizontal="center" vertical="center"/>
    </xf>
    <xf numFmtId="0" fontId="7" fillId="33" borderId="37" xfId="0" applyNumberFormat="1" applyFont="1" applyFill="1" applyBorder="1" applyAlignment="1" applyProtection="1">
      <alignment horizontal="center" vertical="center"/>
    </xf>
    <xf numFmtId="0" fontId="7" fillId="33" borderId="61" xfId="0" applyNumberFormat="1" applyFont="1" applyFill="1" applyBorder="1" applyAlignment="1" applyProtection="1">
      <alignment horizontal="center" vertical="center"/>
    </xf>
    <xf numFmtId="0" fontId="7" fillId="33" borderId="60" xfId="0" applyNumberFormat="1" applyFont="1" applyFill="1" applyBorder="1" applyAlignment="1" applyProtection="1">
      <alignment horizontal="center" vertical="center"/>
    </xf>
    <xf numFmtId="0" fontId="7" fillId="24" borderId="28" xfId="0" applyNumberFormat="1" applyFont="1" applyFill="1" applyBorder="1" applyAlignment="1" applyProtection="1">
      <alignment horizontal="center"/>
    </xf>
    <xf numFmtId="0" fontId="7" fillId="24" borderId="39" xfId="0" applyNumberFormat="1" applyFont="1" applyFill="1" applyBorder="1" applyAlignment="1" applyProtection="1">
      <alignment horizontal="center"/>
    </xf>
    <xf numFmtId="0" fontId="7" fillId="24" borderId="46" xfId="0" applyNumberFormat="1" applyFont="1" applyFill="1" applyBorder="1" applyAlignment="1" applyProtection="1">
      <alignment horizontal="center" vertical="top"/>
    </xf>
    <xf numFmtId="0" fontId="7" fillId="24" borderId="31" xfId="0" applyNumberFormat="1" applyFont="1" applyFill="1" applyBorder="1" applyAlignment="1" applyProtection="1">
      <alignment horizontal="center" vertical="top"/>
    </xf>
    <xf numFmtId="0" fontId="7" fillId="24" borderId="32" xfId="0" applyNumberFormat="1" applyFont="1" applyFill="1" applyBorder="1" applyAlignment="1" applyProtection="1">
      <alignment horizontal="center" vertical="top"/>
    </xf>
    <xf numFmtId="0" fontId="37" fillId="24" borderId="18" xfId="36" applyNumberFormat="1" applyFont="1" applyFill="1" applyBorder="1" applyAlignment="1" applyProtection="1">
      <alignment horizontal="center" vertical="top"/>
    </xf>
    <xf numFmtId="0" fontId="37" fillId="24" borderId="37" xfId="36" applyNumberFormat="1" applyFont="1" applyFill="1" applyBorder="1" applyAlignment="1" applyProtection="1">
      <alignment horizontal="center" vertical="top"/>
    </xf>
    <xf numFmtId="0" fontId="37" fillId="24" borderId="31" xfId="36" applyNumberFormat="1" applyFont="1" applyFill="1" applyBorder="1" applyAlignment="1" applyProtection="1">
      <alignment horizontal="center" vertical="top"/>
    </xf>
    <xf numFmtId="0" fontId="41" fillId="33" borderId="18" xfId="36" applyNumberFormat="1" applyFont="1" applyFill="1" applyBorder="1" applyAlignment="1" applyProtection="1">
      <alignment horizontal="left" vertical="top"/>
    </xf>
    <xf numFmtId="0" fontId="41" fillId="33" borderId="37" xfId="36" applyNumberFormat="1" applyFont="1" applyFill="1" applyBorder="1" applyAlignment="1" applyProtection="1">
      <alignment horizontal="left" vertical="top"/>
    </xf>
    <xf numFmtId="0" fontId="41" fillId="33" borderId="31" xfId="36" applyNumberFormat="1" applyFont="1" applyFill="1" applyBorder="1" applyAlignment="1" applyProtection="1">
      <alignment horizontal="left" vertical="top"/>
    </xf>
    <xf numFmtId="0" fontId="45" fillId="0" borderId="50" xfId="36" applyNumberFormat="1" applyFont="1" applyFill="1" applyBorder="1" applyAlignment="1" applyProtection="1">
      <alignment horizontal="center" vertical="center"/>
    </xf>
    <xf numFmtId="0" fontId="3" fillId="0" borderId="51" xfId="36" applyNumberFormat="1" applyFont="1" applyFill="1" applyBorder="1" applyAlignment="1" applyProtection="1">
      <alignment horizontal="center" vertical="center"/>
    </xf>
    <xf numFmtId="0" fontId="3" fillId="0" borderId="14" xfId="36" applyNumberFormat="1" applyFont="1" applyFill="1" applyBorder="1" applyAlignment="1" applyProtection="1">
      <alignment horizontal="center" vertical="center"/>
    </xf>
    <xf numFmtId="0" fontId="3" fillId="0" borderId="28" xfId="36" applyNumberFormat="1" applyFont="1" applyFill="1" applyBorder="1" applyAlignment="1" applyProtection="1">
      <alignment horizontal="center" vertical="center"/>
    </xf>
    <xf numFmtId="0" fontId="5" fillId="0" borderId="0" xfId="36" applyNumberFormat="1" applyFont="1" applyFill="1" applyBorder="1" applyAlignment="1" applyProtection="1">
      <alignment horizontal="center" vertical="top" wrapText="1"/>
    </xf>
    <xf numFmtId="0" fontId="4" fillId="0" borderId="50" xfId="36" applyNumberFormat="1" applyFont="1" applyFill="1" applyBorder="1" applyAlignment="1" applyProtection="1">
      <alignment horizontal="center" vertical="center"/>
    </xf>
    <xf numFmtId="0" fontId="4" fillId="0" borderId="89" xfId="36" applyNumberFormat="1" applyFont="1" applyFill="1" applyBorder="1" applyAlignment="1" applyProtection="1">
      <alignment horizontal="center" vertical="center"/>
    </xf>
    <xf numFmtId="0" fontId="4" fillId="0" borderId="51" xfId="36" applyNumberFormat="1" applyFont="1" applyFill="1" applyBorder="1" applyAlignment="1" applyProtection="1">
      <alignment horizontal="center" vertical="center"/>
    </xf>
    <xf numFmtId="0" fontId="4" fillId="0" borderId="14" xfId="36" applyNumberFormat="1" applyFont="1" applyFill="1" applyBorder="1" applyAlignment="1" applyProtection="1">
      <alignment horizontal="center" vertical="center"/>
    </xf>
    <xf numFmtId="0" fontId="4" fillId="0" borderId="27" xfId="36" applyNumberFormat="1" applyFont="1" applyFill="1" applyBorder="1" applyAlignment="1" applyProtection="1">
      <alignment horizontal="center" vertical="center"/>
    </xf>
    <xf numFmtId="0" fontId="4" fillId="0" borderId="28" xfId="36" applyNumberFormat="1" applyFont="1" applyFill="1" applyBorder="1" applyAlignment="1" applyProtection="1">
      <alignment horizontal="center" vertical="center"/>
    </xf>
    <xf numFmtId="0" fontId="3" fillId="0" borderId="50" xfId="36" applyNumberFormat="1" applyFont="1" applyFill="1" applyBorder="1" applyAlignment="1" applyProtection="1">
      <alignment horizontal="center" vertical="center"/>
    </xf>
    <xf numFmtId="0" fontId="3" fillId="0" borderId="89" xfId="36" applyNumberFormat="1" applyFont="1" applyFill="1" applyBorder="1" applyAlignment="1" applyProtection="1">
      <alignment horizontal="center" vertical="center"/>
    </xf>
    <xf numFmtId="0" fontId="3" fillId="0" borderId="27" xfId="36" applyNumberFormat="1" applyFont="1" applyFill="1" applyBorder="1" applyAlignment="1" applyProtection="1">
      <alignment horizontal="center" vertical="center"/>
    </xf>
    <xf numFmtId="0" fontId="42" fillId="24" borderId="24" xfId="36" applyNumberFormat="1" applyFont="1" applyFill="1" applyBorder="1" applyAlignment="1" applyProtection="1">
      <alignment horizontal="center" vertical="distributed" textRotation="91"/>
    </xf>
    <xf numFmtId="0" fontId="42" fillId="24" borderId="77" xfId="36" applyNumberFormat="1" applyFont="1" applyFill="1" applyBorder="1" applyAlignment="1" applyProtection="1">
      <alignment horizontal="center" vertical="distributed" textRotation="91"/>
    </xf>
    <xf numFmtId="0" fontId="42" fillId="24" borderId="39" xfId="36" applyNumberFormat="1" applyFont="1" applyFill="1" applyBorder="1" applyAlignment="1" applyProtection="1">
      <alignment horizontal="center" vertical="top"/>
    </xf>
    <xf numFmtId="0" fontId="42" fillId="24" borderId="34" xfId="36" applyNumberFormat="1" applyFont="1" applyFill="1" applyBorder="1" applyAlignment="1" applyProtection="1">
      <alignment horizontal="center" vertical="top"/>
    </xf>
    <xf numFmtId="0" fontId="42" fillId="24" borderId="88" xfId="36" applyNumberFormat="1" applyFont="1" applyFill="1" applyBorder="1" applyAlignment="1" applyProtection="1">
      <alignment horizontal="center" vertical="top"/>
    </xf>
    <xf numFmtId="0" fontId="42" fillId="24" borderId="78" xfId="36" applyNumberFormat="1" applyFont="1" applyFill="1" applyBorder="1" applyAlignment="1" applyProtection="1">
      <alignment horizontal="center" vertical="top"/>
    </xf>
    <xf numFmtId="0" fontId="3" fillId="0" borderId="52" xfId="36" applyNumberFormat="1" applyFont="1" applyFill="1" applyBorder="1" applyAlignment="1" applyProtection="1">
      <alignment horizontal="center" vertical="center"/>
    </xf>
    <xf numFmtId="0" fontId="3" fillId="0" borderId="58" xfId="36" applyNumberFormat="1" applyFont="1" applyFill="1" applyBorder="1" applyAlignment="1" applyProtection="1">
      <alignment horizontal="center" vertical="center"/>
    </xf>
    <xf numFmtId="0" fontId="3" fillId="0" borderId="79" xfId="36" applyNumberFormat="1" applyFont="1" applyFill="1" applyBorder="1" applyAlignment="1" applyProtection="1">
      <alignment horizontal="center" vertical="center"/>
    </xf>
    <xf numFmtId="0" fontId="37" fillId="24" borderId="40" xfId="36" applyNumberFormat="1" applyFont="1" applyFill="1" applyBorder="1" applyAlignment="1" applyProtection="1">
      <alignment horizontal="center" vertical="center" textRotation="90"/>
    </xf>
    <xf numFmtId="0" fontId="37" fillId="24" borderId="12" xfId="36" applyNumberFormat="1" applyFont="1" applyFill="1" applyBorder="1" applyAlignment="1" applyProtection="1">
      <alignment horizontal="center" vertical="center" textRotation="90"/>
    </xf>
    <xf numFmtId="0" fontId="37" fillId="24" borderId="45" xfId="36" applyNumberFormat="1" applyFont="1" applyFill="1" applyBorder="1" applyAlignment="1" applyProtection="1">
      <alignment horizontal="center" vertical="center"/>
    </xf>
    <xf numFmtId="0" fontId="37" fillId="24" borderId="41" xfId="36" applyNumberFormat="1" applyFont="1" applyFill="1" applyBorder="1" applyAlignment="1" applyProtection="1">
      <alignment horizontal="center" vertical="center"/>
    </xf>
    <xf numFmtId="0" fontId="37" fillId="24" borderId="42" xfId="36" applyNumberFormat="1" applyFont="1" applyFill="1" applyBorder="1" applyAlignment="1" applyProtection="1">
      <alignment horizontal="center" vertical="center"/>
    </xf>
    <xf numFmtId="0" fontId="37" fillId="24" borderId="14" xfId="36" applyNumberFormat="1" applyFont="1" applyFill="1" applyBorder="1" applyAlignment="1" applyProtection="1">
      <alignment horizontal="center" vertical="center"/>
    </xf>
    <xf numFmtId="0" fontId="37" fillId="24" borderId="27" xfId="36" applyNumberFormat="1" applyFont="1" applyFill="1" applyBorder="1" applyAlignment="1" applyProtection="1">
      <alignment horizontal="center" vertical="center"/>
    </xf>
    <xf numFmtId="0" fontId="37" fillId="24" borderId="28" xfId="36" applyNumberFormat="1" applyFont="1" applyFill="1" applyBorder="1" applyAlignment="1" applyProtection="1">
      <alignment horizontal="center" vertical="center"/>
    </xf>
    <xf numFmtId="0" fontId="41" fillId="0" borderId="17" xfId="36" applyNumberFormat="1" applyFont="1" applyFill="1" applyBorder="1" applyAlignment="1" applyProtection="1">
      <alignment horizontal="center" vertical="center" textRotation="90"/>
    </xf>
    <xf numFmtId="0" fontId="41" fillId="0" borderId="11" xfId="36" applyNumberFormat="1" applyFont="1" applyFill="1" applyBorder="1" applyAlignment="1" applyProtection="1">
      <alignment horizontal="center" vertical="center" textRotation="90"/>
    </xf>
    <xf numFmtId="0" fontId="41" fillId="0" borderId="21" xfId="36" applyNumberFormat="1" applyFont="1" applyFill="1" applyBorder="1" applyAlignment="1" applyProtection="1">
      <alignment horizontal="center" vertical="center" textRotation="90"/>
    </xf>
    <xf numFmtId="0" fontId="41" fillId="0" borderId="33" xfId="36" applyNumberFormat="1" applyFont="1" applyFill="1" applyBorder="1" applyAlignment="1" applyProtection="1">
      <alignment horizontal="center" vertical="center" textRotation="90" wrapText="1"/>
    </xf>
    <xf numFmtId="0" fontId="41" fillId="0" borderId="13" xfId="36" applyNumberFormat="1" applyFont="1" applyFill="1" applyBorder="1" applyAlignment="1" applyProtection="1">
      <alignment horizontal="center" vertical="center" textRotation="90" wrapText="1"/>
    </xf>
    <xf numFmtId="0" fontId="41" fillId="0" borderId="22" xfId="36" applyNumberFormat="1" applyFont="1" applyFill="1" applyBorder="1" applyAlignment="1" applyProtection="1">
      <alignment horizontal="center" vertical="center" textRotation="90" wrapText="1"/>
    </xf>
    <xf numFmtId="0" fontId="41" fillId="0" borderId="29" xfId="36" applyNumberFormat="1" applyFont="1" applyFill="1" applyBorder="1" applyAlignment="1" applyProtection="1">
      <alignment horizontal="center" vertical="center" textRotation="90" wrapText="1"/>
    </xf>
    <xf numFmtId="0" fontId="41" fillId="0" borderId="46" xfId="36" applyNumberFormat="1" applyFont="1" applyFill="1" applyBorder="1" applyAlignment="1" applyProtection="1">
      <alignment horizontal="center" vertical="center" textRotation="90" wrapText="1"/>
    </xf>
    <xf numFmtId="0" fontId="37" fillId="24" borderId="47" xfId="36" applyNumberFormat="1" applyFont="1" applyFill="1" applyBorder="1" applyAlignment="1" applyProtection="1">
      <alignment horizontal="center" vertical="center"/>
    </xf>
    <xf numFmtId="0" fontId="37" fillId="24" borderId="48" xfId="36" applyNumberFormat="1" applyFont="1" applyFill="1" applyBorder="1" applyAlignment="1" applyProtection="1">
      <alignment horizontal="center" vertical="center"/>
    </xf>
    <xf numFmtId="0" fontId="37" fillId="0" borderId="44" xfId="36" applyNumberFormat="1" applyFont="1" applyFill="1" applyBorder="1" applyAlignment="1" applyProtection="1">
      <alignment horizontal="center" vertical="center" textRotation="90"/>
    </xf>
    <xf numFmtId="0" fontId="37" fillId="0" borderId="15" xfId="36" applyNumberFormat="1" applyFont="1" applyFill="1" applyBorder="1" applyAlignment="1" applyProtection="1">
      <alignment horizontal="center" vertical="center" textRotation="90"/>
    </xf>
    <xf numFmtId="0" fontId="37" fillId="0" borderId="20" xfId="36" applyNumberFormat="1" applyFont="1" applyFill="1" applyBorder="1" applyAlignment="1" applyProtection="1">
      <alignment horizontal="center" vertical="center" textRotation="90"/>
    </xf>
    <xf numFmtId="0" fontId="41" fillId="0" borderId="45" xfId="36" applyNumberFormat="1" applyFont="1" applyFill="1" applyBorder="1" applyAlignment="1" applyProtection="1">
      <alignment horizontal="center" vertical="center" textRotation="90" wrapText="1"/>
    </xf>
    <xf numFmtId="0" fontId="41" fillId="0" borderId="10" xfId="36" applyNumberFormat="1" applyFont="1" applyFill="1" applyBorder="1" applyAlignment="1" applyProtection="1">
      <alignment horizontal="center" vertical="center" textRotation="90" wrapText="1"/>
    </xf>
    <xf numFmtId="0" fontId="2" fillId="0" borderId="10" xfId="36" applyNumberFormat="1" applyFont="1" applyFill="1" applyBorder="1" applyAlignment="1" applyProtection="1">
      <alignment horizontal="center" vertical="center" textRotation="90"/>
    </xf>
    <xf numFmtId="0" fontId="2" fillId="0" borderId="49" xfId="36" applyNumberFormat="1" applyFont="1" applyFill="1" applyBorder="1" applyAlignment="1" applyProtection="1">
      <alignment horizontal="center" vertical="center" textRotation="90"/>
    </xf>
    <xf numFmtId="0" fontId="41" fillId="0" borderId="40" xfId="36" applyNumberFormat="1" applyFont="1" applyFill="1" applyBorder="1" applyAlignment="1" applyProtection="1">
      <alignment horizontal="center" vertical="center" textRotation="90"/>
    </xf>
    <xf numFmtId="0" fontId="41" fillId="0" borderId="12" xfId="36" applyNumberFormat="1" applyFont="1" applyFill="1" applyBorder="1" applyAlignment="1" applyProtection="1">
      <alignment horizontal="center" vertical="center" textRotation="90"/>
    </xf>
    <xf numFmtId="0" fontId="41" fillId="0" borderId="31" xfId="36" applyNumberFormat="1" applyFont="1" applyFill="1" applyBorder="1" applyAlignment="1" applyProtection="1">
      <alignment horizontal="center" vertical="center" textRotation="90"/>
    </xf>
    <xf numFmtId="0" fontId="37" fillId="0" borderId="45" xfId="36" applyNumberFormat="1" applyFont="1" applyFill="1" applyBorder="1" applyAlignment="1" applyProtection="1">
      <alignment horizontal="center" vertical="center" wrapText="1" shrinkToFit="1"/>
    </xf>
    <xf numFmtId="0" fontId="37" fillId="0" borderId="41" xfId="36" applyNumberFormat="1" applyFont="1" applyFill="1" applyBorder="1" applyAlignment="1" applyProtection="1">
      <alignment horizontal="center" vertical="center" wrapText="1" shrinkToFit="1"/>
    </xf>
    <xf numFmtId="0" fontId="37" fillId="0" borderId="14" xfId="36" applyNumberFormat="1" applyFont="1" applyFill="1" applyBorder="1" applyAlignment="1" applyProtection="1">
      <alignment horizontal="center" vertical="center" wrapText="1" shrinkToFit="1"/>
    </xf>
    <xf numFmtId="0" fontId="37" fillId="0" borderId="27" xfId="36" applyNumberFormat="1" applyFont="1" applyFill="1" applyBorder="1" applyAlignment="1" applyProtection="1">
      <alignment horizontal="center" vertical="center" wrapText="1" shrinkToFit="1"/>
    </xf>
    <xf numFmtId="0" fontId="41" fillId="0" borderId="18" xfId="36" applyNumberFormat="1" applyFont="1" applyFill="1" applyBorder="1" applyAlignment="1" applyProtection="1">
      <alignment horizontal="center" vertical="center" textRotation="90"/>
    </xf>
    <xf numFmtId="0" fontId="41" fillId="0" borderId="13" xfId="36" applyNumberFormat="1" applyFont="1" applyFill="1" applyBorder="1" applyAlignment="1" applyProtection="1">
      <alignment horizontal="center" vertical="center" textRotation="90"/>
    </xf>
    <xf numFmtId="0" fontId="41" fillId="0" borderId="22" xfId="36" applyNumberFormat="1" applyFont="1" applyFill="1" applyBorder="1" applyAlignment="1" applyProtection="1">
      <alignment horizontal="center" vertical="center" textRotation="90"/>
    </xf>
    <xf numFmtId="0" fontId="41" fillId="0" borderId="54" xfId="36" applyNumberFormat="1" applyFont="1" applyFill="1" applyBorder="1" applyAlignment="1" applyProtection="1">
      <alignment horizontal="center" vertical="center" textRotation="90"/>
    </xf>
    <xf numFmtId="0" fontId="41" fillId="0" borderId="35" xfId="36" applyNumberFormat="1" applyFont="1" applyFill="1" applyBorder="1" applyAlignment="1" applyProtection="1">
      <alignment horizontal="center" vertical="center" textRotation="90"/>
    </xf>
    <xf numFmtId="0" fontId="41" fillId="0" borderId="36" xfId="36" applyNumberFormat="1" applyFont="1" applyFill="1" applyBorder="1" applyAlignment="1" applyProtection="1">
      <alignment horizontal="center" vertical="center" textRotation="90"/>
    </xf>
    <xf numFmtId="0" fontId="29" fillId="24" borderId="0" xfId="36" applyNumberFormat="1" applyFont="1" applyFill="1" applyBorder="1" applyAlignment="1" applyProtection="1">
      <alignment horizontal="left" vertical="top"/>
    </xf>
    <xf numFmtId="0" fontId="29" fillId="0" borderId="0" xfId="36" applyNumberFormat="1" applyFont="1" applyFill="1" applyBorder="1" applyAlignment="1" applyProtection="1">
      <alignment horizontal="center" vertical="top"/>
    </xf>
    <xf numFmtId="0" fontId="38" fillId="0" borderId="0" xfId="36" applyNumberFormat="1" applyFont="1" applyFill="1" applyBorder="1" applyAlignment="1" applyProtection="1">
      <alignment horizontal="center" vertical="top"/>
    </xf>
    <xf numFmtId="0" fontId="8" fillId="0" borderId="43" xfId="36" applyNumberFormat="1" applyFont="1" applyFill="1" applyBorder="1" applyAlignment="1" applyProtection="1">
      <alignment horizontal="center" vertical="center"/>
    </xf>
    <xf numFmtId="0" fontId="37" fillId="24" borderId="44" xfId="36" applyNumberFormat="1" applyFont="1" applyFill="1" applyBorder="1" applyAlignment="1" applyProtection="1">
      <alignment horizontal="center" vertical="distributed" textRotation="90"/>
    </xf>
    <xf numFmtId="0" fontId="37" fillId="24" borderId="17" xfId="36" applyNumberFormat="1" applyFont="1" applyFill="1" applyBorder="1" applyAlignment="1" applyProtection="1">
      <alignment horizontal="center" vertical="distributed" textRotation="90"/>
    </xf>
    <xf numFmtId="0" fontId="37" fillId="24" borderId="15" xfId="36" applyNumberFormat="1" applyFont="1" applyFill="1" applyBorder="1" applyAlignment="1" applyProtection="1">
      <alignment horizontal="center" vertical="distributed" textRotation="90"/>
    </xf>
    <xf numFmtId="0" fontId="37" fillId="24" borderId="11" xfId="36" applyNumberFormat="1" applyFont="1" applyFill="1" applyBorder="1" applyAlignment="1" applyProtection="1">
      <alignment horizontal="center" vertical="distributed" textRotation="90"/>
    </xf>
    <xf numFmtId="0" fontId="37" fillId="24" borderId="64" xfId="36" applyNumberFormat="1" applyFont="1" applyFill="1" applyBorder="1" applyAlignment="1" applyProtection="1">
      <alignment horizontal="center" vertical="distributed" textRotation="90"/>
    </xf>
    <xf numFmtId="0" fontId="37" fillId="24" borderId="75" xfId="36" applyNumberFormat="1" applyFont="1" applyFill="1" applyBorder="1" applyAlignment="1" applyProtection="1">
      <alignment horizontal="center" vertical="distributed" textRotation="90"/>
    </xf>
    <xf numFmtId="0" fontId="3" fillId="0" borderId="43" xfId="36" applyNumberFormat="1" applyFont="1" applyFill="1" applyBorder="1" applyAlignment="1" applyProtection="1">
      <alignment horizontal="center" vertical="top" wrapText="1"/>
    </xf>
    <xf numFmtId="0" fontId="40" fillId="0" borderId="43" xfId="36" applyNumberFormat="1" applyFont="1" applyFill="1" applyBorder="1" applyAlignment="1" applyProtection="1">
      <alignment vertical="top" wrapText="1"/>
    </xf>
    <xf numFmtId="0" fontId="6" fillId="0" borderId="0" xfId="36" applyNumberFormat="1" applyFont="1" applyFill="1" applyBorder="1" applyAlignment="1" applyProtection="1">
      <alignment horizontal="center" vertical="top" wrapText="1"/>
    </xf>
    <xf numFmtId="0" fontId="37" fillId="0" borderId="0" xfId="36" applyNumberFormat="1" applyFont="1" applyFill="1" applyBorder="1" applyAlignment="1" applyProtection="1">
      <alignment horizontal="center" vertical="top"/>
    </xf>
    <xf numFmtId="0" fontId="32" fillId="0" borderId="0" xfId="36" applyNumberFormat="1" applyFont="1" applyFill="1" applyBorder="1" applyAlignment="1" applyProtection="1">
      <alignment horizontal="center" vertical="center" wrapText="1"/>
    </xf>
    <xf numFmtId="0" fontId="29" fillId="0" borderId="0" xfId="36" applyNumberFormat="1" applyFont="1" applyFill="1" applyBorder="1" applyAlignment="1" applyProtection="1">
      <alignment horizontal="left" wrapText="1"/>
    </xf>
    <xf numFmtId="0" fontId="32" fillId="0" borderId="0" xfId="36" applyNumberFormat="1" applyFont="1" applyFill="1" applyBorder="1" applyAlignment="1" applyProtection="1">
      <alignment horizontal="center" vertical="top" wrapText="1"/>
    </xf>
    <xf numFmtId="0" fontId="29" fillId="0" borderId="0" xfId="36" applyNumberFormat="1" applyFont="1" applyFill="1" applyBorder="1" applyAlignment="1" applyProtection="1">
      <alignment horizontal="left" vertical="top" wrapText="1"/>
    </xf>
    <xf numFmtId="0" fontId="32" fillId="0" borderId="0" xfId="36" applyNumberFormat="1" applyFont="1" applyFill="1" applyBorder="1" applyAlignment="1" applyProtection="1">
      <alignment horizontal="center" vertical="top"/>
    </xf>
    <xf numFmtId="0" fontId="39" fillId="0" borderId="0" xfId="36" applyNumberFormat="1" applyFont="1" applyFill="1" applyBorder="1" applyAlignment="1" applyProtection="1">
      <alignment horizontal="center" vertical="top"/>
    </xf>
    <xf numFmtId="0" fontId="29" fillId="0" borderId="0" xfId="36" applyNumberFormat="1" applyFont="1" applyFill="1" applyBorder="1" applyAlignment="1" applyProtection="1">
      <alignment horizontal="center" vertical="top" wrapText="1"/>
    </xf>
    <xf numFmtId="0" fontId="29" fillId="0" borderId="0" xfId="36" applyNumberFormat="1" applyFont="1" applyFill="1" applyBorder="1" applyAlignment="1" applyProtection="1">
      <alignment horizontal="left" vertical="top"/>
    </xf>
    <xf numFmtId="0" fontId="6" fillId="24" borderId="43" xfId="0" applyNumberFormat="1" applyFont="1" applyFill="1" applyBorder="1" applyAlignment="1" applyProtection="1">
      <alignment horizontal="center" vertical="top"/>
    </xf>
    <xf numFmtId="0" fontId="4" fillId="0" borderId="52" xfId="0" applyNumberFormat="1" applyFont="1" applyFill="1" applyBorder="1" applyAlignment="1" applyProtection="1">
      <alignment horizontal="center" vertical="top"/>
    </xf>
    <xf numFmtId="0" fontId="4" fillId="0" borderId="58" xfId="0" applyNumberFormat="1" applyFont="1" applyFill="1" applyBorder="1" applyAlignment="1" applyProtection="1">
      <alignment horizontal="center" vertical="top"/>
    </xf>
    <xf numFmtId="0" fontId="4" fillId="0" borderId="79" xfId="0" applyNumberFormat="1" applyFont="1" applyFill="1" applyBorder="1" applyAlignment="1" applyProtection="1">
      <alignment horizontal="center" vertical="top"/>
    </xf>
    <xf numFmtId="0" fontId="4" fillId="0" borderId="7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65" xfId="0" applyNumberFormat="1" applyFont="1" applyFill="1" applyBorder="1" applyAlignment="1" applyProtection="1">
      <alignment horizontal="center" vertical="center"/>
    </xf>
    <xf numFmtId="0" fontId="4" fillId="0" borderId="43" xfId="0" applyNumberFormat="1" applyFont="1" applyFill="1" applyBorder="1" applyAlignment="1" applyProtection="1">
      <alignment horizontal="center" vertical="center"/>
    </xf>
    <xf numFmtId="0" fontId="4" fillId="0" borderId="54" xfId="0" applyNumberFormat="1" applyFont="1" applyFill="1" applyBorder="1" applyAlignment="1" applyProtection="1">
      <alignment horizontal="center" vertical="top" wrapText="1"/>
    </xf>
    <xf numFmtId="0" fontId="4" fillId="0" borderId="67" xfId="0" applyNumberFormat="1" applyFont="1" applyFill="1" applyBorder="1" applyAlignment="1" applyProtection="1">
      <alignment horizontal="center" vertical="top" wrapText="1"/>
    </xf>
    <xf numFmtId="0" fontId="4" fillId="0" borderId="77" xfId="0" applyNumberFormat="1" applyFont="1" applyFill="1" applyBorder="1" applyAlignment="1" applyProtection="1">
      <alignment horizontal="center" vertical="top" wrapText="1"/>
    </xf>
    <xf numFmtId="0" fontId="4" fillId="26" borderId="42" xfId="0" applyNumberFormat="1" applyFont="1" applyFill="1" applyBorder="1" applyAlignment="1" applyProtection="1">
      <alignment horizontal="center" textRotation="90" wrapText="1"/>
    </xf>
    <xf numFmtId="0" fontId="4" fillId="26" borderId="46" xfId="0" applyNumberFormat="1" applyFont="1" applyFill="1" applyBorder="1" applyAlignment="1" applyProtection="1">
      <alignment horizontal="center" textRotation="90" wrapText="1"/>
    </xf>
    <xf numFmtId="0" fontId="4" fillId="26" borderId="66" xfId="0" applyNumberFormat="1" applyFont="1" applyFill="1" applyBorder="1" applyAlignment="1" applyProtection="1">
      <alignment horizontal="center" textRotation="90" wrapText="1"/>
    </xf>
    <xf numFmtId="0" fontId="4" fillId="26" borderId="69" xfId="0" applyNumberFormat="1" applyFont="1" applyFill="1" applyBorder="1" applyAlignment="1" applyProtection="1">
      <alignment horizontal="center" textRotation="90" wrapText="1"/>
    </xf>
    <xf numFmtId="0" fontId="3" fillId="0" borderId="70" xfId="0" applyNumberFormat="1" applyFont="1" applyFill="1" applyBorder="1" applyAlignment="1" applyProtection="1">
      <alignment horizontal="center" vertical="center" textRotation="90"/>
    </xf>
    <xf numFmtId="0" fontId="3" fillId="0" borderId="71" xfId="0" applyNumberFormat="1" applyFont="1" applyFill="1" applyBorder="1" applyAlignment="1" applyProtection="1">
      <alignment horizontal="center" vertical="center" textRotation="90"/>
    </xf>
    <xf numFmtId="0" fontId="3" fillId="0" borderId="72" xfId="0" applyNumberFormat="1" applyFont="1" applyFill="1" applyBorder="1" applyAlignment="1" applyProtection="1">
      <alignment horizontal="center" vertical="center" textRotation="90"/>
    </xf>
    <xf numFmtId="0" fontId="3" fillId="0" borderId="70" xfId="0" applyNumberFormat="1" applyFont="1" applyFill="1" applyBorder="1" applyAlignment="1" applyProtection="1">
      <alignment horizontal="center" vertical="center" wrapText="1"/>
    </xf>
    <xf numFmtId="0" fontId="3" fillId="0" borderId="71" xfId="0" applyNumberFormat="1" applyFont="1" applyFill="1" applyBorder="1" applyAlignment="1" applyProtection="1">
      <alignment horizontal="center" vertical="center" wrapText="1"/>
    </xf>
    <xf numFmtId="0" fontId="3" fillId="0" borderId="72" xfId="0" applyNumberFormat="1" applyFont="1" applyFill="1" applyBorder="1" applyAlignment="1" applyProtection="1">
      <alignment horizontal="center" vertical="center" wrapText="1"/>
    </xf>
    <xf numFmtId="0" fontId="4" fillId="0" borderId="73" xfId="0" applyNumberFormat="1" applyFont="1" applyFill="1" applyBorder="1" applyAlignment="1" applyProtection="1">
      <alignment horizontal="center" vertical="center" wrapText="1"/>
    </xf>
    <xf numFmtId="0" fontId="4" fillId="0" borderId="47" xfId="0" applyNumberFormat="1" applyFont="1" applyFill="1" applyBorder="1" applyAlignment="1" applyProtection="1">
      <alignment horizontal="center" vertical="center" wrapText="1"/>
    </xf>
    <xf numFmtId="0" fontId="4" fillId="0" borderId="74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0" fontId="4" fillId="0" borderId="65" xfId="0" applyNumberFormat="1" applyFont="1" applyFill="1" applyBorder="1" applyAlignment="1" applyProtection="1">
      <alignment horizontal="center" vertical="center" wrapText="1"/>
    </xf>
    <xf numFmtId="0" fontId="4" fillId="0" borderId="80" xfId="0" applyNumberFormat="1" applyFont="1" applyFill="1" applyBorder="1" applyAlignment="1" applyProtection="1">
      <alignment horizontal="center" vertical="center" wrapText="1"/>
    </xf>
    <xf numFmtId="0" fontId="4" fillId="24" borderId="70" xfId="0" applyNumberFormat="1" applyFont="1" applyFill="1" applyBorder="1" applyAlignment="1" applyProtection="1">
      <alignment horizontal="center" vertical="center" textRotation="90" wrapText="1"/>
    </xf>
    <xf numFmtId="0" fontId="4" fillId="24" borderId="71" xfId="0" applyNumberFormat="1" applyFont="1" applyFill="1" applyBorder="1" applyAlignment="1" applyProtection="1">
      <alignment horizontal="center" vertical="center" textRotation="90" wrapText="1"/>
    </xf>
    <xf numFmtId="0" fontId="4" fillId="24" borderId="72" xfId="0" applyNumberFormat="1" applyFont="1" applyFill="1" applyBorder="1" applyAlignment="1" applyProtection="1">
      <alignment horizontal="center" vertical="center" textRotation="90" wrapText="1"/>
    </xf>
    <xf numFmtId="0" fontId="4" fillId="0" borderId="52" xfId="0" applyNumberFormat="1" applyFont="1" applyFill="1" applyBorder="1" applyAlignment="1" applyProtection="1">
      <alignment horizontal="center" vertical="center" wrapText="1"/>
    </xf>
    <xf numFmtId="0" fontId="4" fillId="0" borderId="58" xfId="0" applyNumberFormat="1" applyFont="1" applyFill="1" applyBorder="1" applyAlignment="1" applyProtection="1">
      <alignment horizontal="center" vertical="center" wrapText="1"/>
    </xf>
    <xf numFmtId="0" fontId="4" fillId="0" borderId="79" xfId="0" applyNumberFormat="1" applyFont="1" applyFill="1" applyBorder="1" applyAlignment="1" applyProtection="1">
      <alignment horizontal="center" vertical="center" wrapText="1"/>
    </xf>
    <xf numFmtId="0" fontId="7" fillId="26" borderId="70" xfId="0" applyNumberFormat="1" applyFont="1" applyFill="1" applyBorder="1" applyAlignment="1" applyProtection="1">
      <alignment horizontal="center" textRotation="90" wrapText="1"/>
    </xf>
    <xf numFmtId="0" fontId="7" fillId="26" borderId="71" xfId="0" applyNumberFormat="1" applyFont="1" applyFill="1" applyBorder="1" applyAlignment="1" applyProtection="1">
      <alignment horizontal="center" textRotation="90" wrapText="1"/>
    </xf>
    <xf numFmtId="0" fontId="7" fillId="26" borderId="72" xfId="0" applyNumberFormat="1" applyFont="1" applyFill="1" applyBorder="1" applyAlignment="1" applyProtection="1">
      <alignment horizontal="center" textRotation="90" wrapText="1"/>
    </xf>
    <xf numFmtId="0" fontId="4" fillId="0" borderId="70" xfId="0" applyNumberFormat="1" applyFont="1" applyFill="1" applyBorder="1" applyAlignment="1" applyProtection="1">
      <alignment horizontal="center" textRotation="90" wrapText="1"/>
    </xf>
    <xf numFmtId="0" fontId="4" fillId="0" borderId="71" xfId="0" applyNumberFormat="1" applyFont="1" applyFill="1" applyBorder="1" applyAlignment="1" applyProtection="1">
      <alignment horizontal="center" textRotation="90" wrapText="1"/>
    </xf>
    <xf numFmtId="0" fontId="4" fillId="0" borderId="72" xfId="0" applyNumberFormat="1" applyFont="1" applyFill="1" applyBorder="1" applyAlignment="1" applyProtection="1">
      <alignment horizontal="center" textRotation="90" wrapText="1"/>
    </xf>
    <xf numFmtId="0" fontId="4" fillId="28" borderId="52" xfId="0" applyNumberFormat="1" applyFont="1" applyFill="1" applyBorder="1" applyAlignment="1" applyProtection="1">
      <alignment horizontal="center" vertical="top" wrapText="1"/>
    </xf>
    <xf numFmtId="0" fontId="4" fillId="28" borderId="58" xfId="0" applyNumberFormat="1" applyFont="1" applyFill="1" applyBorder="1" applyAlignment="1" applyProtection="1">
      <alignment horizontal="center" vertical="top" wrapText="1"/>
    </xf>
    <xf numFmtId="0" fontId="4" fillId="28" borderId="79" xfId="0" applyNumberFormat="1" applyFont="1" applyFill="1" applyBorder="1" applyAlignment="1" applyProtection="1">
      <alignment horizontal="center" vertical="top" wrapText="1"/>
    </xf>
    <xf numFmtId="0" fontId="4" fillId="28" borderId="70" xfId="0" applyNumberFormat="1" applyFont="1" applyFill="1" applyBorder="1" applyAlignment="1" applyProtection="1">
      <alignment horizontal="center" textRotation="90" wrapText="1"/>
    </xf>
    <xf numFmtId="0" fontId="4" fillId="28" borderId="71" xfId="0" applyNumberFormat="1" applyFont="1" applyFill="1" applyBorder="1" applyAlignment="1" applyProtection="1">
      <alignment horizontal="center" textRotation="90" wrapText="1"/>
    </xf>
    <xf numFmtId="0" fontId="4" fillId="28" borderId="72" xfId="0" applyNumberFormat="1" applyFont="1" applyFill="1" applyBorder="1" applyAlignment="1" applyProtection="1">
      <alignment horizontal="center" textRotation="90" wrapText="1"/>
    </xf>
    <xf numFmtId="0" fontId="4" fillId="0" borderId="52" xfId="0" applyNumberFormat="1" applyFont="1" applyFill="1" applyBorder="1" applyAlignment="1" applyProtection="1">
      <alignment horizontal="center" vertical="top" wrapText="1"/>
    </xf>
    <xf numFmtId="0" fontId="4" fillId="0" borderId="58" xfId="0" applyNumberFormat="1" applyFont="1" applyFill="1" applyBorder="1" applyAlignment="1" applyProtection="1">
      <alignment horizontal="center" vertical="top" wrapText="1"/>
    </xf>
    <xf numFmtId="0" fontId="4" fillId="0" borderId="79" xfId="0" applyNumberFormat="1" applyFont="1" applyFill="1" applyBorder="1" applyAlignment="1" applyProtection="1">
      <alignment horizontal="center" vertical="top" wrapText="1"/>
    </xf>
    <xf numFmtId="0" fontId="4" fillId="0" borderId="41" xfId="0" applyNumberFormat="1" applyFont="1" applyFill="1" applyBorder="1" applyAlignment="1" applyProtection="1">
      <alignment horizontal="center" vertical="center" wrapText="1"/>
    </xf>
    <xf numFmtId="0" fontId="4" fillId="0" borderId="43" xfId="0" applyNumberFormat="1" applyFont="1" applyFill="1" applyBorder="1" applyAlignment="1" applyProtection="1">
      <alignment horizontal="center" vertical="center" wrapText="1"/>
    </xf>
    <xf numFmtId="0" fontId="4" fillId="0" borderId="66" xfId="0" applyNumberFormat="1" applyFont="1" applyFill="1" applyBorder="1" applyAlignment="1" applyProtection="1">
      <alignment horizontal="center" textRotation="90" wrapText="1"/>
    </xf>
    <xf numFmtId="0" fontId="4" fillId="0" borderId="68" xfId="0" applyNumberFormat="1" applyFont="1" applyFill="1" applyBorder="1" applyAlignment="1" applyProtection="1">
      <alignment horizontal="center" textRotation="90" wrapText="1"/>
    </xf>
    <xf numFmtId="0" fontId="4" fillId="0" borderId="69" xfId="0" applyNumberFormat="1" applyFont="1" applyFill="1" applyBorder="1" applyAlignment="1" applyProtection="1">
      <alignment horizontal="center" textRotation="90" wrapText="1"/>
    </xf>
    <xf numFmtId="0" fontId="4" fillId="0" borderId="40" xfId="0" applyNumberFormat="1" applyFont="1" applyFill="1" applyBorder="1" applyAlignment="1" applyProtection="1">
      <alignment horizontal="center" textRotation="90" wrapText="1"/>
    </xf>
    <xf numFmtId="0" fontId="4" fillId="0" borderId="12" xfId="0" applyNumberFormat="1" applyFont="1" applyFill="1" applyBorder="1" applyAlignment="1" applyProtection="1">
      <alignment horizontal="center" textRotation="90" wrapText="1"/>
    </xf>
    <xf numFmtId="0" fontId="4" fillId="0" borderId="31" xfId="0" applyNumberFormat="1" applyFont="1" applyFill="1" applyBorder="1" applyAlignment="1" applyProtection="1">
      <alignment horizontal="center" textRotation="90" wrapText="1"/>
    </xf>
    <xf numFmtId="0" fontId="4" fillId="27" borderId="25" xfId="0" applyNumberFormat="1" applyFont="1" applyFill="1" applyBorder="1" applyAlignment="1" applyProtection="1">
      <alignment horizontal="center" textRotation="90" wrapText="1"/>
    </xf>
    <xf numFmtId="0" fontId="4" fillId="27" borderId="30" xfId="0" applyNumberFormat="1" applyFont="1" applyFill="1" applyBorder="1" applyAlignment="1" applyProtection="1">
      <alignment horizontal="center" textRotation="90" wrapText="1"/>
    </xf>
    <xf numFmtId="0" fontId="4" fillId="27" borderId="32" xfId="0" applyNumberFormat="1" applyFont="1" applyFill="1" applyBorder="1" applyAlignment="1" applyProtection="1">
      <alignment horizontal="center" textRotation="90" wrapText="1"/>
    </xf>
    <xf numFmtId="0" fontId="7" fillId="24" borderId="41" xfId="0" applyNumberFormat="1" applyFont="1" applyFill="1" applyBorder="1" applyAlignment="1" applyProtection="1">
      <alignment horizontal="left" vertical="top" wrapText="1"/>
    </xf>
    <xf numFmtId="0" fontId="7" fillId="24" borderId="0" xfId="0" applyNumberFormat="1" applyFont="1" applyFill="1" applyBorder="1" applyAlignment="1" applyProtection="1">
      <alignment horizontal="left" vertical="top" wrapText="1"/>
    </xf>
    <xf numFmtId="0" fontId="8" fillId="24" borderId="40" xfId="0" applyNumberFormat="1" applyFont="1" applyFill="1" applyBorder="1" applyAlignment="1" applyProtection="1">
      <alignment horizontal="center" vertical="center" textRotation="90"/>
    </xf>
    <xf numFmtId="0" fontId="8" fillId="24" borderId="12" xfId="0" applyNumberFormat="1" applyFont="1" applyFill="1" applyBorder="1" applyAlignment="1" applyProtection="1">
      <alignment horizontal="center" vertical="center" textRotation="90"/>
    </xf>
    <xf numFmtId="0" fontId="8" fillId="24" borderId="31" xfId="0" applyNumberFormat="1" applyFont="1" applyFill="1" applyBorder="1" applyAlignment="1" applyProtection="1">
      <alignment horizontal="center" vertical="center" textRotation="90"/>
    </xf>
    <xf numFmtId="0" fontId="7" fillId="24" borderId="35" xfId="0" applyNumberFormat="1" applyFont="1" applyFill="1" applyBorder="1" applyAlignment="1" applyProtection="1">
      <alignment horizontal="left" vertical="top"/>
    </xf>
    <xf numFmtId="0" fontId="7" fillId="24" borderId="55" xfId="0" applyNumberFormat="1" applyFont="1" applyFill="1" applyBorder="1" applyAlignment="1" applyProtection="1">
      <alignment horizontal="left" vertical="top"/>
    </xf>
    <xf numFmtId="0" fontId="7" fillId="24" borderId="85" xfId="0" applyNumberFormat="1" applyFont="1" applyFill="1" applyBorder="1" applyAlignment="1" applyProtection="1">
      <alignment horizontal="left" vertical="top"/>
    </xf>
    <xf numFmtId="0" fontId="7" fillId="24" borderId="36" xfId="0" applyNumberFormat="1" applyFont="1" applyFill="1" applyBorder="1" applyAlignment="1" applyProtection="1">
      <alignment horizontal="left" vertical="top"/>
    </xf>
    <xf numFmtId="0" fontId="7" fillId="24" borderId="76" xfId="0" applyNumberFormat="1" applyFont="1" applyFill="1" applyBorder="1" applyAlignment="1" applyProtection="1">
      <alignment horizontal="left" vertical="top"/>
    </xf>
    <xf numFmtId="0" fontId="7" fillId="24" borderId="78" xfId="0" applyNumberFormat="1" applyFont="1" applyFill="1" applyBorder="1" applyAlignment="1" applyProtection="1">
      <alignment horizontal="left" vertical="top"/>
    </xf>
    <xf numFmtId="0" fontId="7" fillId="24" borderId="54" xfId="0" applyNumberFormat="1" applyFont="1" applyFill="1" applyBorder="1" applyAlignment="1" applyProtection="1">
      <alignment horizontal="left" vertical="top"/>
    </xf>
    <xf numFmtId="0" fontId="7" fillId="24" borderId="67" xfId="0" applyNumberFormat="1" applyFont="1" applyFill="1" applyBorder="1" applyAlignment="1" applyProtection="1">
      <alignment horizontal="left" vertical="top"/>
    </xf>
    <xf numFmtId="0" fontId="7" fillId="24" borderId="77" xfId="0" applyNumberFormat="1" applyFont="1" applyFill="1" applyBorder="1" applyAlignment="1" applyProtection="1">
      <alignment horizontal="left" vertical="top"/>
    </xf>
    <xf numFmtId="0" fontId="7" fillId="24" borderId="35" xfId="0" applyNumberFormat="1" applyFont="1" applyFill="1" applyBorder="1" applyAlignment="1" applyProtection="1">
      <alignment horizontal="left" vertical="top" wrapText="1"/>
    </xf>
    <xf numFmtId="0" fontId="7" fillId="24" borderId="55" xfId="0" applyNumberFormat="1" applyFont="1" applyFill="1" applyBorder="1" applyAlignment="1" applyProtection="1">
      <alignment horizontal="left" vertical="top" wrapText="1"/>
    </xf>
    <xf numFmtId="0" fontId="7" fillId="24" borderId="85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35" fillId="0" borderId="0" xfId="0" applyNumberFormat="1" applyFont="1" applyFill="1" applyBorder="1" applyAlignment="1" applyProtection="1">
      <alignment vertical="top" wrapText="1"/>
    </xf>
    <xf numFmtId="0" fontId="7" fillId="0" borderId="83" xfId="0" applyNumberFormat="1" applyFont="1" applyFill="1" applyBorder="1" applyAlignment="1" applyProtection="1">
      <alignment horizontal="center" vertical="top" wrapText="1"/>
    </xf>
    <xf numFmtId="0" fontId="7" fillId="0" borderId="72" xfId="0" applyNumberFormat="1" applyFont="1" applyFill="1" applyBorder="1" applyAlignment="1" applyProtection="1">
      <alignment horizontal="center" vertical="top" wrapText="1"/>
    </xf>
    <xf numFmtId="0" fontId="7" fillId="0" borderId="83" xfId="0" applyNumberFormat="1" applyFont="1" applyFill="1" applyBorder="1" applyAlignment="1" applyProtection="1">
      <alignment horizontal="left" vertical="top" wrapText="1"/>
    </xf>
    <xf numFmtId="0" fontId="7" fillId="0" borderId="72" xfId="0" applyNumberFormat="1" applyFont="1" applyFill="1" applyBorder="1" applyAlignment="1" applyProtection="1">
      <alignment horizontal="left" vertical="top" wrapText="1"/>
    </xf>
    <xf numFmtId="0" fontId="7" fillId="0" borderId="86" xfId="0" applyNumberFormat="1" applyFont="1" applyFill="1" applyBorder="1" applyAlignment="1" applyProtection="1">
      <alignment horizontal="center" vertical="top" wrapText="1"/>
    </xf>
    <xf numFmtId="0" fontId="7" fillId="0" borderId="19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8" fillId="0" borderId="52" xfId="0" applyNumberFormat="1" applyFont="1" applyFill="1" applyBorder="1" applyAlignment="1" applyProtection="1">
      <alignment horizontal="center" vertical="top" wrapText="1"/>
    </xf>
    <xf numFmtId="0" fontId="8" fillId="0" borderId="58" xfId="0" applyNumberFormat="1" applyFont="1" applyFill="1" applyBorder="1" applyAlignment="1" applyProtection="1">
      <alignment horizontal="center" vertical="top" wrapText="1"/>
    </xf>
    <xf numFmtId="0" fontId="8" fillId="0" borderId="79" xfId="0" applyNumberFormat="1" applyFont="1" applyFill="1" applyBorder="1" applyAlignment="1" applyProtection="1">
      <alignment horizontal="center" vertical="top" wrapText="1"/>
    </xf>
    <xf numFmtId="0" fontId="8" fillId="0" borderId="70" xfId="0" applyNumberFormat="1" applyFont="1" applyFill="1" applyBorder="1" applyAlignment="1" applyProtection="1">
      <alignment horizontal="center" vertical="top" wrapText="1"/>
    </xf>
    <xf numFmtId="0" fontId="8" fillId="0" borderId="71" xfId="0" applyNumberFormat="1" applyFont="1" applyFill="1" applyBorder="1" applyAlignment="1" applyProtection="1">
      <alignment horizontal="center" vertical="top" wrapText="1"/>
    </xf>
    <xf numFmtId="0" fontId="8" fillId="0" borderId="72" xfId="0" applyNumberFormat="1" applyFont="1" applyFill="1" applyBorder="1" applyAlignment="1" applyProtection="1">
      <alignment horizontal="center" vertical="top" wrapText="1"/>
    </xf>
    <xf numFmtId="0" fontId="7" fillId="0" borderId="70" xfId="0" applyNumberFormat="1" applyFont="1" applyFill="1" applyBorder="1" applyAlignment="1" applyProtection="1">
      <alignment horizontal="center" vertical="top" wrapText="1"/>
    </xf>
    <xf numFmtId="0" fontId="7" fillId="0" borderId="71" xfId="0" applyNumberFormat="1" applyFont="1" applyFill="1" applyBorder="1" applyAlignment="1" applyProtection="1">
      <alignment horizontal="center" vertical="top" wrapText="1"/>
    </xf>
    <xf numFmtId="0" fontId="7" fillId="0" borderId="63" xfId="0" applyNumberFormat="1" applyFont="1" applyFill="1" applyBorder="1" applyAlignment="1" applyProtection="1">
      <alignment horizontal="center" vertical="top" wrapText="1"/>
    </xf>
    <xf numFmtId="0" fontId="7" fillId="0" borderId="41" xfId="0" applyNumberFormat="1" applyFont="1" applyFill="1" applyBorder="1" applyAlignment="1" applyProtection="1">
      <alignment horizontal="left" vertical="top" wrapText="1"/>
    </xf>
    <xf numFmtId="0" fontId="7" fillId="0" borderId="27" xfId="0" applyNumberFormat="1" applyFont="1" applyFill="1" applyBorder="1" applyAlignment="1" applyProtection="1">
      <alignment horizontal="left" vertical="top" wrapText="1"/>
    </xf>
    <xf numFmtId="0" fontId="7" fillId="30" borderId="47" xfId="0" applyNumberFormat="1" applyFont="1" applyFill="1" applyBorder="1" applyAlignment="1" applyProtection="1">
      <alignment horizontal="center" vertical="top" wrapText="1"/>
    </xf>
    <xf numFmtId="0" fontId="7" fillId="30" borderId="19" xfId="0" applyNumberFormat="1" applyFont="1" applyFill="1" applyBorder="1" applyAlignment="1" applyProtection="1">
      <alignment horizontal="center" vertical="top" wrapText="1"/>
    </xf>
    <xf numFmtId="0" fontId="7" fillId="30" borderId="48" xfId="0" applyNumberFormat="1" applyFont="1" applyFill="1" applyBorder="1" applyAlignment="1" applyProtection="1">
      <alignment horizontal="center" vertical="top" wrapText="1"/>
    </xf>
  </cellXfs>
  <cellStyles count="45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Гиперссылка" xfId="44" builtinId="8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5000000}"/>
    <cellStyle name="Обычный_расчет БУП" xfId="43" xr:uid="{00000000-0005-0000-0000-000026000000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0"/>
  <tableStyles count="0" defaultTableStyle="TableStyleMedium9" defaultPivotStyle="PivotStyleLight16"/>
  <colors>
    <mruColors>
      <color rgb="FFE5E2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rulaws.ru/acts/Prikaz-Mintruda-Rossii-ot-22.12.2014-N-1061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O35"/>
  <sheetViews>
    <sheetView topLeftCell="A6" zoomScale="130" zoomScaleNormal="130" workbookViewId="0">
      <selection activeCell="Y29" sqref="Y29:AE32"/>
    </sheetView>
  </sheetViews>
  <sheetFormatPr defaultRowHeight="12.75" x14ac:dyDescent="0.2"/>
  <cols>
    <col min="1" max="1" width="0.85546875" style="5" customWidth="1"/>
    <col min="2" max="2" width="1.5703125" style="5" customWidth="1"/>
    <col min="3" max="7" width="2" style="5" customWidth="1"/>
    <col min="8" max="8" width="2.28515625" style="5" customWidth="1"/>
    <col min="9" max="9" width="2.5703125" style="5" customWidth="1"/>
    <col min="10" max="14" width="2" style="5" customWidth="1"/>
    <col min="15" max="15" width="2.140625" style="5" customWidth="1"/>
    <col min="16" max="16" width="2.42578125" style="5" customWidth="1"/>
    <col min="17" max="27" width="2" style="5" customWidth="1"/>
    <col min="28" max="28" width="2.28515625" style="5" customWidth="1"/>
    <col min="29" max="29" width="2.7109375" style="5" customWidth="1"/>
    <col min="30" max="54" width="2" style="5" customWidth="1"/>
    <col min="55" max="55" width="3" style="5" customWidth="1"/>
    <col min="56" max="56" width="4.140625" style="5" customWidth="1"/>
    <col min="57" max="57" width="3.5703125" style="5" customWidth="1"/>
    <col min="58" max="58" width="3.42578125" style="5" customWidth="1"/>
    <col min="59" max="59" width="4.28515625" style="5" customWidth="1"/>
    <col min="60" max="60" width="3.42578125" style="5" customWidth="1"/>
    <col min="61" max="61" width="2" style="5" customWidth="1"/>
    <col min="62" max="62" width="2.5703125" style="5" customWidth="1"/>
    <col min="63" max="63" width="3.42578125" style="5" customWidth="1"/>
    <col min="64" max="64" width="4.42578125" style="5" customWidth="1"/>
    <col min="65" max="67" width="2" style="5" customWidth="1"/>
    <col min="68" max="16384" width="9.140625" style="5"/>
  </cols>
  <sheetData>
    <row r="1" spans="2:67" x14ac:dyDescent="0.2">
      <c r="C1" s="5" t="s">
        <v>162</v>
      </c>
      <c r="P1" s="264"/>
      <c r="Q1" s="264"/>
      <c r="BG1" s="264"/>
      <c r="BI1" s="264"/>
      <c r="BJ1" s="264"/>
      <c r="BK1" s="264"/>
      <c r="BL1" s="264"/>
      <c r="BO1" s="265"/>
    </row>
    <row r="2" spans="2:67" x14ac:dyDescent="0.2">
      <c r="P2" s="264"/>
      <c r="Q2" s="264"/>
      <c r="BG2" s="264"/>
      <c r="BI2" s="264"/>
      <c r="BJ2" s="264"/>
      <c r="BK2" s="264"/>
      <c r="BL2" s="264"/>
      <c r="BO2" s="265"/>
    </row>
    <row r="3" spans="2:67" x14ac:dyDescent="0.2">
      <c r="P3" s="264"/>
      <c r="Q3" s="264"/>
      <c r="BG3" s="264"/>
      <c r="BI3" s="264"/>
      <c r="BJ3" s="264"/>
      <c r="BK3" s="264"/>
      <c r="BL3" s="264"/>
      <c r="BO3" s="265"/>
    </row>
    <row r="4" spans="2:67" ht="16.5" customHeight="1" x14ac:dyDescent="0.2">
      <c r="W4" s="757" t="s">
        <v>163</v>
      </c>
      <c r="X4" s="758"/>
      <c r="Y4" s="758"/>
      <c r="Z4" s="758"/>
      <c r="AA4" s="758"/>
      <c r="AB4" s="758"/>
      <c r="AC4" s="758"/>
      <c r="AD4" s="758"/>
      <c r="AE4" s="758"/>
      <c r="AF4" s="758"/>
      <c r="AG4" s="758"/>
      <c r="AH4" s="758"/>
      <c r="AI4" s="758"/>
      <c r="AJ4" s="758"/>
      <c r="AK4" s="758"/>
      <c r="AL4" s="758"/>
      <c r="AM4" s="758"/>
      <c r="AN4" s="758"/>
      <c r="AO4" s="758"/>
      <c r="AP4" s="758"/>
      <c r="AQ4" s="758"/>
      <c r="AR4" s="758"/>
      <c r="AS4" s="758"/>
      <c r="AT4" s="758"/>
      <c r="AU4" s="758"/>
      <c r="AV4" s="758"/>
      <c r="AW4" s="758"/>
      <c r="AX4" s="758"/>
      <c r="AY4" s="758"/>
      <c r="AZ4" s="758"/>
      <c r="BA4" s="758"/>
    </row>
    <row r="5" spans="2:67" ht="41.25" customHeight="1" x14ac:dyDescent="0.2">
      <c r="S5" s="759" t="s">
        <v>164</v>
      </c>
      <c r="T5" s="759"/>
      <c r="U5" s="759"/>
      <c r="V5" s="759"/>
      <c r="W5" s="759"/>
      <c r="X5" s="759"/>
      <c r="Y5" s="759"/>
      <c r="Z5" s="759"/>
      <c r="AA5" s="759"/>
      <c r="AB5" s="759"/>
      <c r="AC5" s="759"/>
      <c r="AD5" s="759"/>
      <c r="AE5" s="759"/>
      <c r="AF5" s="759"/>
      <c r="AG5" s="759"/>
      <c r="AH5" s="759"/>
      <c r="AI5" s="759"/>
      <c r="AJ5" s="759"/>
      <c r="AK5" s="759"/>
      <c r="AL5" s="759"/>
      <c r="AM5" s="759"/>
      <c r="AN5" s="759"/>
      <c r="AO5" s="759"/>
      <c r="AP5" s="759"/>
      <c r="AQ5" s="759"/>
      <c r="AR5" s="759"/>
      <c r="AS5" s="759"/>
      <c r="AT5" s="759"/>
      <c r="AU5" s="759"/>
      <c r="AV5" s="759"/>
      <c r="AW5" s="759"/>
      <c r="AX5" s="759"/>
      <c r="AY5" s="759"/>
      <c r="AZ5" s="759"/>
      <c r="BA5" s="759"/>
      <c r="BB5" s="759"/>
      <c r="BC5" s="759"/>
      <c r="BD5" s="759"/>
      <c r="BE5" s="759"/>
    </row>
    <row r="6" spans="2:67" ht="15" x14ac:dyDescent="0.25">
      <c r="B6" s="266"/>
      <c r="C6" s="267"/>
      <c r="D6" s="760"/>
      <c r="E6" s="760"/>
      <c r="F6" s="760"/>
      <c r="G6" s="760"/>
      <c r="H6" s="760"/>
      <c r="I6" s="760"/>
      <c r="J6" s="760"/>
      <c r="K6" s="760"/>
      <c r="L6" s="760"/>
      <c r="M6" s="760"/>
      <c r="N6" s="268"/>
      <c r="O6" s="268"/>
      <c r="P6" s="268"/>
      <c r="Q6" s="268"/>
      <c r="R6" s="268"/>
      <c r="S6" s="268"/>
      <c r="T6" s="266"/>
      <c r="U6" s="266"/>
      <c r="V6" s="266"/>
      <c r="W6" s="746" t="s">
        <v>165</v>
      </c>
      <c r="X6" s="746"/>
      <c r="Y6" s="746"/>
      <c r="Z6" s="746"/>
      <c r="AA6" s="746"/>
      <c r="AB6" s="746"/>
      <c r="AC6" s="746"/>
      <c r="AD6" s="747"/>
      <c r="AE6" s="747"/>
      <c r="AF6" s="747"/>
      <c r="AG6" s="747"/>
      <c r="AH6" s="747"/>
      <c r="AI6" s="747"/>
      <c r="AJ6" s="747"/>
      <c r="AK6" s="747"/>
      <c r="AL6" s="747"/>
      <c r="AM6" s="747"/>
      <c r="AN6" s="747"/>
      <c r="AO6" s="747"/>
      <c r="AP6" s="747"/>
      <c r="AQ6" s="747"/>
      <c r="AR6" s="747"/>
      <c r="AS6" s="747"/>
      <c r="AT6" s="747"/>
      <c r="AU6" s="747"/>
      <c r="AV6" s="747"/>
      <c r="AW6" s="747"/>
      <c r="AX6" s="747"/>
      <c r="AY6" s="747"/>
      <c r="AZ6" s="747"/>
      <c r="BA6" s="747"/>
      <c r="BB6" s="266"/>
      <c r="BC6" s="266"/>
      <c r="BD6" s="761" t="s">
        <v>166</v>
      </c>
      <c r="BE6" s="761"/>
      <c r="BF6" s="761"/>
      <c r="BG6" s="761"/>
      <c r="BH6" s="761"/>
      <c r="BI6" s="761"/>
      <c r="BJ6" s="761"/>
      <c r="BK6" s="761"/>
      <c r="BL6" s="761"/>
    </row>
    <row r="7" spans="2:67" ht="15" x14ac:dyDescent="0.2">
      <c r="B7" s="266"/>
      <c r="C7" s="267"/>
      <c r="D7" s="762"/>
      <c r="E7" s="762"/>
      <c r="F7" s="762"/>
      <c r="G7" s="762"/>
      <c r="H7" s="762"/>
      <c r="I7" s="762"/>
      <c r="J7" s="762"/>
      <c r="K7" s="762"/>
      <c r="L7" s="762"/>
      <c r="M7" s="762"/>
      <c r="N7" s="762"/>
      <c r="O7" s="762"/>
      <c r="P7" s="762"/>
      <c r="Q7" s="762"/>
      <c r="R7" s="268"/>
      <c r="S7" s="268"/>
      <c r="T7" s="266"/>
      <c r="U7" s="266"/>
      <c r="V7" s="266"/>
      <c r="W7" s="763" t="s">
        <v>225</v>
      </c>
      <c r="X7" s="763"/>
      <c r="Y7" s="763"/>
      <c r="Z7" s="763"/>
      <c r="AA7" s="763"/>
      <c r="AB7" s="763"/>
      <c r="AC7" s="763"/>
      <c r="AD7" s="764"/>
      <c r="AE7" s="764"/>
      <c r="AF7" s="764"/>
      <c r="AG7" s="764"/>
      <c r="AH7" s="764"/>
      <c r="AI7" s="764"/>
      <c r="AJ7" s="764"/>
      <c r="AK7" s="764"/>
      <c r="AL7" s="764"/>
      <c r="AM7" s="764"/>
      <c r="AN7" s="764"/>
      <c r="AO7" s="764"/>
      <c r="AP7" s="764"/>
      <c r="AQ7" s="764"/>
      <c r="AR7" s="764"/>
      <c r="AS7" s="764"/>
      <c r="AT7" s="764"/>
      <c r="AU7" s="764"/>
      <c r="AV7" s="764"/>
      <c r="AW7" s="764"/>
      <c r="AX7" s="764"/>
      <c r="AY7" s="764"/>
      <c r="AZ7" s="764"/>
      <c r="BA7" s="764"/>
      <c r="BB7" s="266"/>
      <c r="BC7" s="266"/>
      <c r="BD7" s="765" t="s">
        <v>293</v>
      </c>
      <c r="BE7" s="746"/>
      <c r="BF7" s="746"/>
      <c r="BG7" s="746"/>
      <c r="BH7" s="746"/>
      <c r="BI7" s="746"/>
      <c r="BJ7" s="746"/>
      <c r="BK7" s="746"/>
      <c r="BL7" s="746"/>
    </row>
    <row r="8" spans="2:67" ht="15" x14ac:dyDescent="0.2">
      <c r="B8" s="266"/>
      <c r="C8" s="268"/>
      <c r="D8" s="766"/>
      <c r="E8" s="766"/>
      <c r="F8" s="766"/>
      <c r="G8" s="766"/>
      <c r="H8" s="766"/>
      <c r="I8" s="766"/>
      <c r="J8" s="766"/>
      <c r="K8" s="766"/>
      <c r="L8" s="766"/>
      <c r="M8" s="766"/>
      <c r="N8" s="766"/>
      <c r="O8" s="766"/>
      <c r="P8" s="766"/>
      <c r="Q8" s="766"/>
      <c r="R8" s="766"/>
      <c r="S8" s="269"/>
      <c r="T8" s="270"/>
      <c r="U8" s="270"/>
      <c r="V8" s="270"/>
      <c r="W8" s="765" t="s">
        <v>290</v>
      </c>
      <c r="X8" s="765"/>
      <c r="Y8" s="765"/>
      <c r="Z8" s="765"/>
      <c r="AA8" s="765"/>
      <c r="AB8" s="765"/>
      <c r="AC8" s="765"/>
      <c r="AD8" s="765"/>
      <c r="AE8" s="765"/>
      <c r="AF8" s="765"/>
      <c r="AG8" s="765"/>
      <c r="AH8" s="765"/>
      <c r="AI8" s="765"/>
      <c r="AJ8" s="765"/>
      <c r="AK8" s="765"/>
      <c r="AL8" s="765"/>
      <c r="AM8" s="765"/>
      <c r="AN8" s="765"/>
      <c r="AO8" s="765"/>
      <c r="AP8" s="765"/>
      <c r="AQ8" s="765"/>
      <c r="AR8" s="765"/>
      <c r="AS8" s="765"/>
      <c r="AT8" s="765"/>
      <c r="AU8" s="765"/>
      <c r="AV8" s="765"/>
      <c r="AW8" s="765"/>
      <c r="AX8" s="765"/>
      <c r="AY8" s="765"/>
      <c r="AZ8" s="765"/>
      <c r="BA8" s="765"/>
      <c r="BB8" s="270"/>
      <c r="BC8" s="266"/>
      <c r="BD8" s="746"/>
      <c r="BE8" s="746"/>
      <c r="BF8" s="746"/>
      <c r="BG8" s="746"/>
      <c r="BH8" s="746"/>
      <c r="BI8" s="746"/>
      <c r="BJ8" s="746"/>
      <c r="BK8" s="746"/>
      <c r="BL8" s="746"/>
    </row>
    <row r="9" spans="2:67" ht="15" x14ac:dyDescent="0.2">
      <c r="B9" s="266"/>
      <c r="C9" s="268"/>
      <c r="D9" s="745"/>
      <c r="E9" s="745"/>
      <c r="F9" s="745"/>
      <c r="G9" s="745"/>
      <c r="H9" s="745"/>
      <c r="I9" s="745"/>
      <c r="J9" s="745"/>
      <c r="K9" s="745"/>
      <c r="L9" s="745"/>
      <c r="M9" s="745"/>
      <c r="N9" s="745"/>
      <c r="O9" s="745"/>
      <c r="P9" s="745"/>
      <c r="Q9" s="745"/>
      <c r="R9" s="745"/>
      <c r="S9" s="271"/>
      <c r="T9" s="270"/>
      <c r="U9" s="270"/>
      <c r="V9" s="270"/>
      <c r="W9" s="746" t="s">
        <v>167</v>
      </c>
      <c r="X9" s="746"/>
      <c r="Y9" s="746"/>
      <c r="Z9" s="746"/>
      <c r="AA9" s="746"/>
      <c r="AB9" s="746"/>
      <c r="AC9" s="746"/>
      <c r="AD9" s="746"/>
      <c r="AE9" s="746"/>
      <c r="AF9" s="746"/>
      <c r="AG9" s="746"/>
      <c r="AH9" s="746"/>
      <c r="AI9" s="746"/>
      <c r="AJ9" s="746"/>
      <c r="AK9" s="746"/>
      <c r="AL9" s="746"/>
      <c r="AM9" s="746"/>
      <c r="AN9" s="746"/>
      <c r="AO9" s="746"/>
      <c r="AP9" s="746"/>
      <c r="AQ9" s="746"/>
      <c r="AR9" s="746"/>
      <c r="AS9" s="746"/>
      <c r="AT9" s="746"/>
      <c r="AU9" s="746"/>
      <c r="AV9" s="746"/>
      <c r="AW9" s="746"/>
      <c r="AX9" s="746"/>
      <c r="AY9" s="746"/>
      <c r="AZ9" s="746"/>
      <c r="BA9" s="746"/>
      <c r="BB9" s="270"/>
      <c r="BC9" s="266"/>
      <c r="BD9" s="746"/>
      <c r="BE9" s="746"/>
      <c r="BF9" s="746"/>
      <c r="BG9" s="746"/>
      <c r="BH9" s="746"/>
      <c r="BI9" s="746"/>
      <c r="BJ9" s="746"/>
      <c r="BK9" s="746"/>
      <c r="BL9" s="746"/>
    </row>
    <row r="10" spans="2:67" ht="15" x14ac:dyDescent="0.2">
      <c r="B10" s="266"/>
      <c r="C10" s="268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W10" s="746" t="s">
        <v>277</v>
      </c>
      <c r="X10" s="746"/>
      <c r="Y10" s="746"/>
      <c r="Z10" s="746"/>
      <c r="AA10" s="746"/>
      <c r="AB10" s="746"/>
      <c r="AC10" s="746"/>
      <c r="AD10" s="746"/>
      <c r="AE10" s="746"/>
      <c r="AF10" s="746"/>
      <c r="AG10" s="746"/>
      <c r="AH10" s="746"/>
      <c r="AI10" s="746"/>
      <c r="AJ10" s="746"/>
      <c r="AK10" s="746"/>
      <c r="AL10" s="746"/>
      <c r="AM10" s="746"/>
      <c r="AN10" s="746"/>
      <c r="AO10" s="746"/>
      <c r="AP10" s="746"/>
      <c r="AQ10" s="746"/>
      <c r="AR10" s="746"/>
      <c r="AS10" s="746"/>
      <c r="AT10" s="746"/>
      <c r="AU10" s="746"/>
      <c r="AV10" s="746"/>
      <c r="AW10" s="746"/>
      <c r="AX10" s="746"/>
      <c r="AY10" s="746"/>
      <c r="AZ10" s="746"/>
      <c r="BA10" s="746"/>
      <c r="BB10" s="266"/>
      <c r="BC10" s="266"/>
      <c r="BD10" s="746"/>
      <c r="BE10" s="746"/>
      <c r="BF10" s="746"/>
      <c r="BG10" s="746"/>
      <c r="BH10" s="746"/>
      <c r="BI10" s="746"/>
      <c r="BJ10" s="746"/>
      <c r="BK10" s="746"/>
      <c r="BL10" s="746"/>
    </row>
    <row r="11" spans="2:67" ht="15" x14ac:dyDescent="0.2">
      <c r="B11" s="266"/>
      <c r="C11" s="268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W11" s="746" t="s">
        <v>168</v>
      </c>
      <c r="X11" s="747"/>
      <c r="Y11" s="747"/>
      <c r="Z11" s="747"/>
      <c r="AA11" s="747"/>
      <c r="AB11" s="747"/>
      <c r="AC11" s="747"/>
      <c r="AD11" s="747"/>
      <c r="AE11" s="747"/>
      <c r="AF11" s="747"/>
      <c r="AG11" s="747"/>
      <c r="AH11" s="747"/>
      <c r="AI11" s="747"/>
      <c r="AJ11" s="747"/>
      <c r="AK11" s="747"/>
      <c r="AL11" s="747"/>
      <c r="AM11" s="747"/>
      <c r="AN11" s="747"/>
      <c r="AO11" s="747"/>
      <c r="AP11" s="747"/>
      <c r="AQ11" s="747"/>
      <c r="AR11" s="747"/>
      <c r="AS11" s="747"/>
      <c r="AT11" s="747"/>
      <c r="AU11" s="747"/>
      <c r="AV11" s="747"/>
      <c r="AW11" s="747"/>
      <c r="AX11" s="747"/>
      <c r="AY11" s="747"/>
      <c r="AZ11" s="747"/>
      <c r="BA11" s="747"/>
      <c r="BB11" s="266"/>
      <c r="BC11" s="266"/>
      <c r="BD11" s="746"/>
      <c r="BE11" s="746"/>
      <c r="BF11" s="746"/>
      <c r="BG11" s="746"/>
      <c r="BH11" s="746"/>
      <c r="BI11" s="746"/>
      <c r="BJ11" s="746"/>
      <c r="BK11" s="746"/>
      <c r="BL11" s="746"/>
    </row>
    <row r="13" spans="2:67" ht="16.5" thickBot="1" x14ac:dyDescent="0.25">
      <c r="B13" s="748" t="s">
        <v>169</v>
      </c>
      <c r="C13" s="748"/>
      <c r="D13" s="748"/>
      <c r="E13" s="748"/>
      <c r="F13" s="748"/>
      <c r="G13" s="748"/>
      <c r="H13" s="748"/>
      <c r="I13" s="748"/>
      <c r="J13" s="748"/>
      <c r="K13" s="748"/>
      <c r="L13" s="748"/>
      <c r="M13" s="748"/>
      <c r="N13" s="748"/>
      <c r="O13" s="748"/>
      <c r="P13" s="748"/>
      <c r="Q13" s="748"/>
      <c r="R13" s="748"/>
      <c r="S13" s="748"/>
      <c r="T13" s="748"/>
      <c r="U13" s="748"/>
      <c r="V13" s="748"/>
      <c r="W13" s="748"/>
      <c r="X13" s="748"/>
      <c r="Y13" s="748"/>
      <c r="Z13" s="748"/>
      <c r="AA13" s="748"/>
      <c r="AB13" s="748"/>
      <c r="AC13" s="748"/>
      <c r="AD13" s="748"/>
      <c r="AE13" s="748"/>
      <c r="AF13" s="748"/>
      <c r="AG13" s="748"/>
      <c r="AH13" s="748"/>
      <c r="AI13" s="748"/>
      <c r="AJ13" s="748"/>
      <c r="AK13" s="748"/>
      <c r="AL13" s="748"/>
      <c r="AM13" s="748"/>
      <c r="AN13" s="748"/>
      <c r="AO13" s="748"/>
      <c r="AP13" s="748"/>
      <c r="AQ13" s="748"/>
      <c r="AR13" s="748"/>
      <c r="AS13" s="748"/>
      <c r="AT13" s="748"/>
      <c r="AU13" s="748"/>
      <c r="AV13" s="748"/>
      <c r="AW13" s="748"/>
      <c r="AX13" s="748"/>
      <c r="AY13" s="748"/>
      <c r="AZ13" s="748"/>
      <c r="BA13" s="748"/>
      <c r="BB13" s="748"/>
      <c r="BC13" s="748"/>
      <c r="BD13" s="755" t="s">
        <v>170</v>
      </c>
      <c r="BE13" s="755"/>
      <c r="BF13" s="755"/>
      <c r="BG13" s="755"/>
      <c r="BH13" s="755"/>
      <c r="BI13" s="755"/>
      <c r="BJ13" s="755"/>
      <c r="BK13" s="755"/>
      <c r="BL13" s="756"/>
    </row>
    <row r="14" spans="2:67" x14ac:dyDescent="0.2">
      <c r="B14" s="749" t="s">
        <v>171</v>
      </c>
      <c r="C14" s="750"/>
      <c r="D14" s="710" t="s">
        <v>172</v>
      </c>
      <c r="E14" s="710"/>
      <c r="F14" s="710"/>
      <c r="G14" s="711"/>
      <c r="H14" s="707" t="s">
        <v>173</v>
      </c>
      <c r="I14" s="709" t="s">
        <v>174</v>
      </c>
      <c r="J14" s="710"/>
      <c r="K14" s="711"/>
      <c r="L14" s="707" t="s">
        <v>175</v>
      </c>
      <c r="M14" s="709" t="s">
        <v>176</v>
      </c>
      <c r="N14" s="710"/>
      <c r="O14" s="710"/>
      <c r="P14" s="711"/>
      <c r="Q14" s="709" t="s">
        <v>177</v>
      </c>
      <c r="R14" s="710"/>
      <c r="S14" s="710"/>
      <c r="T14" s="711"/>
      <c r="U14" s="707" t="s">
        <v>178</v>
      </c>
      <c r="V14" s="709" t="s">
        <v>179</v>
      </c>
      <c r="W14" s="710"/>
      <c r="X14" s="711"/>
      <c r="Y14" s="707" t="s">
        <v>180</v>
      </c>
      <c r="Z14" s="709" t="s">
        <v>181</v>
      </c>
      <c r="AA14" s="710"/>
      <c r="AB14" s="711"/>
      <c r="AC14" s="707" t="s">
        <v>182</v>
      </c>
      <c r="AD14" s="709" t="s">
        <v>183</v>
      </c>
      <c r="AE14" s="710"/>
      <c r="AF14" s="710"/>
      <c r="AG14" s="711"/>
      <c r="AH14" s="707" t="s">
        <v>184</v>
      </c>
      <c r="AI14" s="709" t="s">
        <v>185</v>
      </c>
      <c r="AJ14" s="710"/>
      <c r="AK14" s="711"/>
      <c r="AL14" s="707" t="s">
        <v>186</v>
      </c>
      <c r="AM14" s="709" t="s">
        <v>187</v>
      </c>
      <c r="AN14" s="710"/>
      <c r="AO14" s="710"/>
      <c r="AP14" s="711"/>
      <c r="AQ14" s="709" t="s">
        <v>188</v>
      </c>
      <c r="AR14" s="710"/>
      <c r="AS14" s="710"/>
      <c r="AT14" s="711"/>
      <c r="AU14" s="707" t="s">
        <v>189</v>
      </c>
      <c r="AV14" s="709" t="s">
        <v>190</v>
      </c>
      <c r="AW14" s="710"/>
      <c r="AX14" s="711"/>
      <c r="AY14" s="707" t="s">
        <v>191</v>
      </c>
      <c r="AZ14" s="709" t="s">
        <v>192</v>
      </c>
      <c r="BA14" s="710"/>
      <c r="BB14" s="710"/>
      <c r="BC14" s="723"/>
      <c r="BD14" s="725" t="s">
        <v>171</v>
      </c>
      <c r="BE14" s="728" t="s">
        <v>193</v>
      </c>
      <c r="BF14" s="732" t="s">
        <v>23</v>
      </c>
      <c r="BG14" s="735" t="s">
        <v>194</v>
      </c>
      <c r="BH14" s="736"/>
      <c r="BI14" s="739" t="s">
        <v>195</v>
      </c>
      <c r="BJ14" s="739" t="s">
        <v>50</v>
      </c>
      <c r="BK14" s="742" t="s">
        <v>196</v>
      </c>
      <c r="BL14" s="715" t="s">
        <v>2</v>
      </c>
    </row>
    <row r="15" spans="2:67" ht="18" customHeight="1" x14ac:dyDescent="0.2">
      <c r="B15" s="751"/>
      <c r="C15" s="752"/>
      <c r="D15" s="713"/>
      <c r="E15" s="713"/>
      <c r="F15" s="713"/>
      <c r="G15" s="714"/>
      <c r="H15" s="708"/>
      <c r="I15" s="712"/>
      <c r="J15" s="713"/>
      <c r="K15" s="714"/>
      <c r="L15" s="708"/>
      <c r="M15" s="712"/>
      <c r="N15" s="713"/>
      <c r="O15" s="713"/>
      <c r="P15" s="714"/>
      <c r="Q15" s="712"/>
      <c r="R15" s="713"/>
      <c r="S15" s="713"/>
      <c r="T15" s="714"/>
      <c r="U15" s="708"/>
      <c r="V15" s="712"/>
      <c r="W15" s="713"/>
      <c r="X15" s="714"/>
      <c r="Y15" s="708"/>
      <c r="Z15" s="712"/>
      <c r="AA15" s="713"/>
      <c r="AB15" s="714"/>
      <c r="AC15" s="708"/>
      <c r="AD15" s="712"/>
      <c r="AE15" s="713"/>
      <c r="AF15" s="713"/>
      <c r="AG15" s="714"/>
      <c r="AH15" s="708"/>
      <c r="AI15" s="712"/>
      <c r="AJ15" s="713"/>
      <c r="AK15" s="714"/>
      <c r="AL15" s="708"/>
      <c r="AM15" s="712"/>
      <c r="AN15" s="713"/>
      <c r="AO15" s="713"/>
      <c r="AP15" s="714"/>
      <c r="AQ15" s="712"/>
      <c r="AR15" s="713"/>
      <c r="AS15" s="713"/>
      <c r="AT15" s="714"/>
      <c r="AU15" s="708"/>
      <c r="AV15" s="712"/>
      <c r="AW15" s="713"/>
      <c r="AX15" s="714"/>
      <c r="AY15" s="708"/>
      <c r="AZ15" s="712"/>
      <c r="BA15" s="713"/>
      <c r="BB15" s="713"/>
      <c r="BC15" s="724"/>
      <c r="BD15" s="726"/>
      <c r="BE15" s="729"/>
      <c r="BF15" s="733"/>
      <c r="BG15" s="737"/>
      <c r="BH15" s="738"/>
      <c r="BI15" s="740"/>
      <c r="BJ15" s="740"/>
      <c r="BK15" s="743"/>
      <c r="BL15" s="716"/>
    </row>
    <row r="16" spans="2:67" x14ac:dyDescent="0.2">
      <c r="B16" s="751"/>
      <c r="C16" s="752"/>
      <c r="D16" s="272"/>
      <c r="E16" s="273"/>
      <c r="F16" s="273"/>
      <c r="G16" s="274"/>
      <c r="H16" s="708"/>
      <c r="I16" s="273"/>
      <c r="J16" s="273"/>
      <c r="K16" s="274"/>
      <c r="L16" s="708"/>
      <c r="M16" s="273"/>
      <c r="N16" s="273"/>
      <c r="O16" s="273"/>
      <c r="P16" s="273"/>
      <c r="Q16" s="273"/>
      <c r="R16" s="273"/>
      <c r="S16" s="273"/>
      <c r="T16" s="274"/>
      <c r="U16" s="708"/>
      <c r="V16" s="273"/>
      <c r="W16" s="273"/>
      <c r="X16" s="275"/>
      <c r="Y16" s="708"/>
      <c r="Z16" s="273"/>
      <c r="AA16" s="273"/>
      <c r="AB16" s="274"/>
      <c r="AC16" s="708"/>
      <c r="AD16" s="273"/>
      <c r="AE16" s="273"/>
      <c r="AF16" s="273"/>
      <c r="AG16" s="274"/>
      <c r="AH16" s="708"/>
      <c r="AI16" s="273"/>
      <c r="AJ16" s="273"/>
      <c r="AK16" s="274"/>
      <c r="AL16" s="708"/>
      <c r="AM16" s="273"/>
      <c r="AN16" s="273"/>
      <c r="AO16" s="273"/>
      <c r="AP16" s="273"/>
      <c r="AQ16" s="273"/>
      <c r="AR16" s="273"/>
      <c r="AS16" s="273"/>
      <c r="AT16" s="274"/>
      <c r="AU16" s="708"/>
      <c r="AV16" s="273"/>
      <c r="AW16" s="273"/>
      <c r="AX16" s="274"/>
      <c r="AY16" s="708"/>
      <c r="AZ16" s="273"/>
      <c r="BA16" s="273"/>
      <c r="BB16" s="273"/>
      <c r="BC16" s="276"/>
      <c r="BD16" s="726"/>
      <c r="BE16" s="730"/>
      <c r="BF16" s="733"/>
      <c r="BG16" s="718" t="s">
        <v>197</v>
      </c>
      <c r="BH16" s="721" t="s">
        <v>198</v>
      </c>
      <c r="BI16" s="740"/>
      <c r="BJ16" s="740"/>
      <c r="BK16" s="743"/>
      <c r="BL16" s="716"/>
    </row>
    <row r="17" spans="2:64" x14ac:dyDescent="0.2">
      <c r="B17" s="751"/>
      <c r="C17" s="752"/>
      <c r="D17" s="275"/>
      <c r="E17" s="277"/>
      <c r="F17" s="277"/>
      <c r="G17" s="275"/>
      <c r="H17" s="708"/>
      <c r="I17" s="277"/>
      <c r="J17" s="277"/>
      <c r="K17" s="275"/>
      <c r="L17" s="708"/>
      <c r="M17" s="277"/>
      <c r="N17" s="277"/>
      <c r="O17" s="277"/>
      <c r="P17" s="277"/>
      <c r="Q17" s="277"/>
      <c r="R17" s="277"/>
      <c r="S17" s="277"/>
      <c r="T17" s="275"/>
      <c r="U17" s="708"/>
      <c r="V17" s="277"/>
      <c r="W17" s="277"/>
      <c r="X17" s="275"/>
      <c r="Y17" s="708"/>
      <c r="Z17" s="277"/>
      <c r="AA17" s="277"/>
      <c r="AB17" s="275"/>
      <c r="AC17" s="708"/>
      <c r="AD17" s="277"/>
      <c r="AE17" s="277"/>
      <c r="AF17" s="277"/>
      <c r="AG17" s="275"/>
      <c r="AH17" s="708"/>
      <c r="AI17" s="277"/>
      <c r="AJ17" s="277"/>
      <c r="AK17" s="275"/>
      <c r="AL17" s="708"/>
      <c r="AM17" s="277"/>
      <c r="AN17" s="277"/>
      <c r="AO17" s="277"/>
      <c r="AP17" s="277"/>
      <c r="AQ17" s="277"/>
      <c r="AR17" s="277"/>
      <c r="AS17" s="277"/>
      <c r="AT17" s="275"/>
      <c r="AU17" s="708"/>
      <c r="AV17" s="277"/>
      <c r="AW17" s="277"/>
      <c r="AX17" s="275"/>
      <c r="AY17" s="708"/>
      <c r="AZ17" s="277"/>
      <c r="BA17" s="277"/>
      <c r="BB17" s="277"/>
      <c r="BC17" s="276"/>
      <c r="BD17" s="726"/>
      <c r="BE17" s="730"/>
      <c r="BF17" s="733"/>
      <c r="BG17" s="719"/>
      <c r="BH17" s="721"/>
      <c r="BI17" s="740"/>
      <c r="BJ17" s="740"/>
      <c r="BK17" s="743"/>
      <c r="BL17" s="716"/>
    </row>
    <row r="18" spans="2:64" x14ac:dyDescent="0.2">
      <c r="B18" s="751"/>
      <c r="C18" s="752"/>
      <c r="D18" s="275">
        <v>1</v>
      </c>
      <c r="E18" s="277">
        <v>8</v>
      </c>
      <c r="F18" s="277">
        <v>15</v>
      </c>
      <c r="G18" s="277">
        <v>22</v>
      </c>
      <c r="H18" s="708"/>
      <c r="I18" s="277">
        <v>6</v>
      </c>
      <c r="J18" s="277">
        <v>13</v>
      </c>
      <c r="K18" s="277">
        <v>20</v>
      </c>
      <c r="L18" s="708"/>
      <c r="M18" s="277">
        <v>3</v>
      </c>
      <c r="N18" s="275">
        <v>10</v>
      </c>
      <c r="O18" s="277">
        <v>17</v>
      </c>
      <c r="P18" s="277">
        <v>24</v>
      </c>
      <c r="Q18" s="277">
        <v>1</v>
      </c>
      <c r="R18" s="277">
        <v>8</v>
      </c>
      <c r="S18" s="277">
        <v>15</v>
      </c>
      <c r="T18" s="277">
        <v>22</v>
      </c>
      <c r="U18" s="708"/>
      <c r="V18" s="277">
        <v>5</v>
      </c>
      <c r="W18" s="277">
        <v>12</v>
      </c>
      <c r="X18" s="277">
        <v>19</v>
      </c>
      <c r="Y18" s="708"/>
      <c r="Z18" s="277">
        <v>2</v>
      </c>
      <c r="AA18" s="277">
        <v>9</v>
      </c>
      <c r="AB18" s="277">
        <v>16</v>
      </c>
      <c r="AC18" s="708"/>
      <c r="AD18" s="277">
        <v>2</v>
      </c>
      <c r="AE18" s="277">
        <v>9</v>
      </c>
      <c r="AF18" s="277">
        <v>16</v>
      </c>
      <c r="AG18" s="277">
        <v>23</v>
      </c>
      <c r="AH18" s="708"/>
      <c r="AI18" s="277">
        <v>6</v>
      </c>
      <c r="AJ18" s="277">
        <v>13</v>
      </c>
      <c r="AK18" s="277">
        <v>20</v>
      </c>
      <c r="AL18" s="708"/>
      <c r="AM18" s="277">
        <v>4</v>
      </c>
      <c r="AN18" s="277">
        <v>11</v>
      </c>
      <c r="AO18" s="277">
        <v>18</v>
      </c>
      <c r="AP18" s="277">
        <v>25</v>
      </c>
      <c r="AQ18" s="277">
        <v>1</v>
      </c>
      <c r="AR18" s="277">
        <v>8</v>
      </c>
      <c r="AS18" s="277">
        <v>15</v>
      </c>
      <c r="AT18" s="277">
        <v>22</v>
      </c>
      <c r="AU18" s="708"/>
      <c r="AV18" s="277">
        <v>6</v>
      </c>
      <c r="AW18" s="277">
        <v>13</v>
      </c>
      <c r="AX18" s="277">
        <v>20</v>
      </c>
      <c r="AY18" s="708"/>
      <c r="AZ18" s="277">
        <v>3</v>
      </c>
      <c r="BA18" s="277">
        <v>10</v>
      </c>
      <c r="BB18" s="277">
        <v>17</v>
      </c>
      <c r="BC18" s="278">
        <v>24</v>
      </c>
      <c r="BD18" s="726"/>
      <c r="BE18" s="730"/>
      <c r="BF18" s="733"/>
      <c r="BG18" s="719"/>
      <c r="BH18" s="721"/>
      <c r="BI18" s="740"/>
      <c r="BJ18" s="740"/>
      <c r="BK18" s="743"/>
      <c r="BL18" s="716"/>
    </row>
    <row r="19" spans="2:64" x14ac:dyDescent="0.2">
      <c r="B19" s="751"/>
      <c r="C19" s="752"/>
      <c r="D19" s="275">
        <v>7</v>
      </c>
      <c r="E19" s="277">
        <v>14</v>
      </c>
      <c r="F19" s="277">
        <v>21</v>
      </c>
      <c r="G19" s="277">
        <v>28</v>
      </c>
      <c r="H19" s="708"/>
      <c r="I19" s="277">
        <v>12</v>
      </c>
      <c r="J19" s="277">
        <v>19</v>
      </c>
      <c r="K19" s="277">
        <v>26</v>
      </c>
      <c r="L19" s="708"/>
      <c r="M19" s="277">
        <v>9</v>
      </c>
      <c r="N19" s="277">
        <v>16</v>
      </c>
      <c r="O19" s="277">
        <v>23</v>
      </c>
      <c r="P19" s="277">
        <v>30</v>
      </c>
      <c r="Q19" s="277">
        <v>7</v>
      </c>
      <c r="R19" s="277">
        <v>14</v>
      </c>
      <c r="S19" s="277">
        <v>21</v>
      </c>
      <c r="T19" s="277">
        <v>28</v>
      </c>
      <c r="U19" s="708"/>
      <c r="V19" s="277">
        <v>11</v>
      </c>
      <c r="W19" s="277">
        <v>18</v>
      </c>
      <c r="X19" s="277">
        <v>25</v>
      </c>
      <c r="Y19" s="708"/>
      <c r="Z19" s="277">
        <v>8</v>
      </c>
      <c r="AA19" s="277">
        <v>15</v>
      </c>
      <c r="AB19" s="277">
        <v>22</v>
      </c>
      <c r="AC19" s="708"/>
      <c r="AD19" s="277">
        <v>8</v>
      </c>
      <c r="AE19" s="277">
        <v>15</v>
      </c>
      <c r="AF19" s="277">
        <v>22</v>
      </c>
      <c r="AG19" s="277">
        <v>29</v>
      </c>
      <c r="AH19" s="708"/>
      <c r="AI19" s="277">
        <v>12</v>
      </c>
      <c r="AJ19" s="277">
        <v>19</v>
      </c>
      <c r="AK19" s="277">
        <v>26</v>
      </c>
      <c r="AL19" s="708"/>
      <c r="AM19" s="277">
        <v>10</v>
      </c>
      <c r="AN19" s="277">
        <v>17</v>
      </c>
      <c r="AO19" s="277">
        <v>24</v>
      </c>
      <c r="AP19" s="277">
        <v>31</v>
      </c>
      <c r="AQ19" s="277">
        <v>7</v>
      </c>
      <c r="AR19" s="277">
        <v>14</v>
      </c>
      <c r="AS19" s="277">
        <v>21</v>
      </c>
      <c r="AT19" s="277">
        <v>28</v>
      </c>
      <c r="AU19" s="708"/>
      <c r="AV19" s="277">
        <v>12</v>
      </c>
      <c r="AW19" s="277">
        <v>19</v>
      </c>
      <c r="AX19" s="277">
        <v>26</v>
      </c>
      <c r="AY19" s="708"/>
      <c r="AZ19" s="277">
        <v>9</v>
      </c>
      <c r="BA19" s="277">
        <v>16</v>
      </c>
      <c r="BB19" s="277">
        <v>23</v>
      </c>
      <c r="BC19" s="278">
        <v>31</v>
      </c>
      <c r="BD19" s="726"/>
      <c r="BE19" s="730"/>
      <c r="BF19" s="733"/>
      <c r="BG19" s="719"/>
      <c r="BH19" s="721"/>
      <c r="BI19" s="740"/>
      <c r="BJ19" s="740"/>
      <c r="BK19" s="743"/>
      <c r="BL19" s="716"/>
    </row>
    <row r="20" spans="2:64" x14ac:dyDescent="0.2">
      <c r="B20" s="751"/>
      <c r="C20" s="752"/>
      <c r="D20" s="275"/>
      <c r="E20" s="277"/>
      <c r="F20" s="277"/>
      <c r="G20" s="277"/>
      <c r="H20" s="708"/>
      <c r="I20" s="277"/>
      <c r="J20" s="277"/>
      <c r="K20" s="277"/>
      <c r="L20" s="708"/>
      <c r="M20" s="277"/>
      <c r="N20" s="277"/>
      <c r="O20" s="277"/>
      <c r="P20" s="277"/>
      <c r="Q20" s="277"/>
      <c r="R20" s="277"/>
      <c r="S20" s="277"/>
      <c r="T20" s="277"/>
      <c r="U20" s="708"/>
      <c r="V20" s="277"/>
      <c r="W20" s="277"/>
      <c r="X20" s="277"/>
      <c r="Y20" s="708"/>
      <c r="Z20" s="277"/>
      <c r="AA20" s="277"/>
      <c r="AB20" s="277"/>
      <c r="AC20" s="708"/>
      <c r="AD20" s="277"/>
      <c r="AE20" s="277"/>
      <c r="AF20" s="277"/>
      <c r="AG20" s="277"/>
      <c r="AH20" s="708"/>
      <c r="AI20" s="277"/>
      <c r="AJ20" s="277"/>
      <c r="AK20" s="277"/>
      <c r="AL20" s="708"/>
      <c r="AM20" s="277"/>
      <c r="AN20" s="277"/>
      <c r="AO20" s="277"/>
      <c r="AP20" s="277"/>
      <c r="AQ20" s="277"/>
      <c r="AR20" s="277"/>
      <c r="AS20" s="277"/>
      <c r="AT20" s="277"/>
      <c r="AU20" s="708"/>
      <c r="AV20" s="277"/>
      <c r="AW20" s="277"/>
      <c r="AX20" s="277"/>
      <c r="AY20" s="708"/>
      <c r="AZ20" s="277"/>
      <c r="BA20" s="277"/>
      <c r="BB20" s="277"/>
      <c r="BC20" s="278"/>
      <c r="BD20" s="726"/>
      <c r="BE20" s="730"/>
      <c r="BF20" s="733"/>
      <c r="BG20" s="719"/>
      <c r="BH20" s="721"/>
      <c r="BI20" s="740"/>
      <c r="BJ20" s="740"/>
      <c r="BK20" s="743"/>
      <c r="BL20" s="716"/>
    </row>
    <row r="21" spans="2:64" x14ac:dyDescent="0.2">
      <c r="B21" s="751"/>
      <c r="C21" s="752"/>
      <c r="D21" s="275"/>
      <c r="E21" s="277"/>
      <c r="F21" s="277"/>
      <c r="G21" s="277"/>
      <c r="H21" s="708"/>
      <c r="I21" s="277"/>
      <c r="J21" s="277"/>
      <c r="K21" s="277"/>
      <c r="L21" s="708"/>
      <c r="M21" s="277"/>
      <c r="N21" s="277"/>
      <c r="O21" s="277"/>
      <c r="P21" s="277"/>
      <c r="Q21" s="277"/>
      <c r="R21" s="277"/>
      <c r="S21" s="277"/>
      <c r="T21" s="277"/>
      <c r="U21" s="708"/>
      <c r="V21" s="277"/>
      <c r="W21" s="277"/>
      <c r="X21" s="277"/>
      <c r="Y21" s="708"/>
      <c r="Z21" s="277"/>
      <c r="AA21" s="277"/>
      <c r="AB21" s="277"/>
      <c r="AC21" s="708"/>
      <c r="AD21" s="277"/>
      <c r="AE21" s="277"/>
      <c r="AF21" s="277"/>
      <c r="AG21" s="277"/>
      <c r="AH21" s="708"/>
      <c r="AI21" s="277"/>
      <c r="AJ21" s="277"/>
      <c r="AK21" s="277"/>
      <c r="AL21" s="708"/>
      <c r="AM21" s="277"/>
      <c r="AN21" s="277"/>
      <c r="AO21" s="277"/>
      <c r="AP21" s="277"/>
      <c r="AQ21" s="277"/>
      <c r="AR21" s="277"/>
      <c r="AS21" s="277"/>
      <c r="AT21" s="277"/>
      <c r="AU21" s="708"/>
      <c r="AV21" s="277"/>
      <c r="AW21" s="277"/>
      <c r="AX21" s="277"/>
      <c r="AY21" s="708"/>
      <c r="AZ21" s="277"/>
      <c r="BA21" s="277"/>
      <c r="BB21" s="277"/>
      <c r="BC21" s="278"/>
      <c r="BD21" s="726"/>
      <c r="BE21" s="730"/>
      <c r="BF21" s="733"/>
      <c r="BG21" s="719"/>
      <c r="BH21" s="721"/>
      <c r="BI21" s="740"/>
      <c r="BJ21" s="740"/>
      <c r="BK21" s="743"/>
      <c r="BL21" s="716"/>
    </row>
    <row r="22" spans="2:64" x14ac:dyDescent="0.2">
      <c r="B22" s="751"/>
      <c r="C22" s="752"/>
      <c r="D22" s="275"/>
      <c r="E22" s="277"/>
      <c r="F22" s="277"/>
      <c r="G22" s="277"/>
      <c r="H22" s="708"/>
      <c r="I22" s="277"/>
      <c r="J22" s="277"/>
      <c r="K22" s="277"/>
      <c r="L22" s="708"/>
      <c r="M22" s="277"/>
      <c r="N22" s="277"/>
      <c r="O22" s="277"/>
      <c r="P22" s="277"/>
      <c r="Q22" s="277"/>
      <c r="R22" s="277"/>
      <c r="S22" s="277"/>
      <c r="T22" s="277"/>
      <c r="U22" s="708"/>
      <c r="V22" s="277"/>
      <c r="W22" s="277"/>
      <c r="X22" s="277"/>
      <c r="Y22" s="708"/>
      <c r="Z22" s="277"/>
      <c r="AA22" s="277"/>
      <c r="AB22" s="277"/>
      <c r="AC22" s="708"/>
      <c r="AD22" s="277"/>
      <c r="AE22" s="277"/>
      <c r="AF22" s="277"/>
      <c r="AG22" s="277"/>
      <c r="AH22" s="708"/>
      <c r="AI22" s="277"/>
      <c r="AJ22" s="277"/>
      <c r="AK22" s="277"/>
      <c r="AL22" s="708"/>
      <c r="AM22" s="277"/>
      <c r="AN22" s="277"/>
      <c r="AO22" s="277"/>
      <c r="AP22" s="277"/>
      <c r="AQ22" s="277"/>
      <c r="AR22" s="277"/>
      <c r="AS22" s="277"/>
      <c r="AT22" s="277"/>
      <c r="AU22" s="708"/>
      <c r="AV22" s="277"/>
      <c r="AW22" s="277"/>
      <c r="AX22" s="277"/>
      <c r="AY22" s="708"/>
      <c r="AZ22" s="277"/>
      <c r="BA22" s="277"/>
      <c r="BB22" s="277"/>
      <c r="BC22" s="278"/>
      <c r="BD22" s="726"/>
      <c r="BE22" s="730"/>
      <c r="BF22" s="733"/>
      <c r="BG22" s="719"/>
      <c r="BH22" s="721"/>
      <c r="BI22" s="740"/>
      <c r="BJ22" s="740"/>
      <c r="BK22" s="743"/>
      <c r="BL22" s="716"/>
    </row>
    <row r="23" spans="2:64" ht="13.5" thickBot="1" x14ac:dyDescent="0.25">
      <c r="B23" s="753"/>
      <c r="C23" s="754"/>
      <c r="D23" s="275"/>
      <c r="E23" s="277"/>
      <c r="F23" s="277"/>
      <c r="G23" s="277"/>
      <c r="H23" s="708"/>
      <c r="I23" s="277"/>
      <c r="J23" s="277"/>
      <c r="K23" s="277"/>
      <c r="L23" s="708"/>
      <c r="M23" s="277"/>
      <c r="N23" s="277"/>
      <c r="O23" s="277"/>
      <c r="P23" s="277"/>
      <c r="Q23" s="277"/>
      <c r="R23" s="277"/>
      <c r="S23" s="277"/>
      <c r="T23" s="277"/>
      <c r="U23" s="708"/>
      <c r="V23" s="277"/>
      <c r="W23" s="277"/>
      <c r="X23" s="277"/>
      <c r="Y23" s="708"/>
      <c r="Z23" s="277"/>
      <c r="AA23" s="277"/>
      <c r="AB23" s="277"/>
      <c r="AC23" s="708"/>
      <c r="AD23" s="277"/>
      <c r="AE23" s="277"/>
      <c r="AF23" s="277"/>
      <c r="AG23" s="277"/>
      <c r="AH23" s="708"/>
      <c r="AI23" s="277"/>
      <c r="AJ23" s="277"/>
      <c r="AK23" s="277"/>
      <c r="AL23" s="708"/>
      <c r="AM23" s="277"/>
      <c r="AN23" s="277"/>
      <c r="AO23" s="277"/>
      <c r="AP23" s="277"/>
      <c r="AQ23" s="277"/>
      <c r="AR23" s="277"/>
      <c r="AS23" s="277"/>
      <c r="AT23" s="277"/>
      <c r="AU23" s="708"/>
      <c r="AV23" s="277"/>
      <c r="AW23" s="277"/>
      <c r="AX23" s="277"/>
      <c r="AY23" s="708"/>
      <c r="AZ23" s="277"/>
      <c r="BA23" s="277"/>
      <c r="BB23" s="277"/>
      <c r="BC23" s="278"/>
      <c r="BD23" s="727"/>
      <c r="BE23" s="731"/>
      <c r="BF23" s="734"/>
      <c r="BG23" s="720"/>
      <c r="BH23" s="722"/>
      <c r="BI23" s="741"/>
      <c r="BJ23" s="741"/>
      <c r="BK23" s="744"/>
      <c r="BL23" s="717"/>
    </row>
    <row r="24" spans="2:64" ht="13.5" thickBot="1" x14ac:dyDescent="0.25">
      <c r="B24" s="698">
        <v>1</v>
      </c>
      <c r="C24" s="699"/>
      <c r="D24" s="279"/>
      <c r="E24" s="280"/>
      <c r="F24" s="280"/>
      <c r="G24" s="280"/>
      <c r="H24" s="281"/>
      <c r="I24" s="284">
        <v>17</v>
      </c>
      <c r="J24" s="282"/>
      <c r="K24" s="280"/>
      <c r="L24" s="281"/>
      <c r="M24" s="280"/>
      <c r="N24" s="280"/>
      <c r="O24" s="280"/>
      <c r="P24" s="280"/>
      <c r="Q24" s="280"/>
      <c r="R24" s="280"/>
      <c r="S24" s="280"/>
      <c r="T24" s="283"/>
      <c r="U24" s="681" t="s">
        <v>199</v>
      </c>
      <c r="V24" s="681" t="s">
        <v>199</v>
      </c>
      <c r="W24" s="280"/>
      <c r="X24" s="280"/>
      <c r="Y24" s="281"/>
      <c r="Z24" s="280"/>
      <c r="AA24" s="280"/>
      <c r="AB24" s="280"/>
      <c r="AC24" s="678">
        <v>22</v>
      </c>
      <c r="AD24" s="282"/>
      <c r="AE24" s="280"/>
      <c r="AF24" s="280"/>
      <c r="AG24" s="284"/>
      <c r="AH24" s="285"/>
      <c r="AI24" s="284"/>
      <c r="AJ24" s="284"/>
      <c r="AK24" s="284"/>
      <c r="AL24" s="285"/>
      <c r="AM24" s="284"/>
      <c r="AN24" s="284"/>
      <c r="AO24" s="284"/>
      <c r="AP24" s="284"/>
      <c r="AQ24" s="284"/>
      <c r="AR24" s="284"/>
      <c r="AS24" s="286" t="s">
        <v>200</v>
      </c>
      <c r="AT24" s="286" t="s">
        <v>200</v>
      </c>
      <c r="AU24" s="287" t="s">
        <v>199</v>
      </c>
      <c r="AV24" s="287" t="s">
        <v>199</v>
      </c>
      <c r="AW24" s="287" t="s">
        <v>199</v>
      </c>
      <c r="AX24" s="287" t="s">
        <v>199</v>
      </c>
      <c r="AY24" s="287" t="s">
        <v>199</v>
      </c>
      <c r="AZ24" s="287" t="s">
        <v>199</v>
      </c>
      <c r="BA24" s="287" t="s">
        <v>199</v>
      </c>
      <c r="BB24" s="287" t="s">
        <v>199</v>
      </c>
      <c r="BC24" s="288" t="s">
        <v>199</v>
      </c>
      <c r="BD24" s="289">
        <v>1</v>
      </c>
      <c r="BE24" s="290">
        <v>39</v>
      </c>
      <c r="BF24" s="291"/>
      <c r="BG24" s="292"/>
      <c r="BH24" s="293"/>
      <c r="BI24" s="291">
        <v>2</v>
      </c>
      <c r="BJ24" s="291"/>
      <c r="BK24" s="294">
        <v>11</v>
      </c>
      <c r="BL24" s="295">
        <v>52</v>
      </c>
    </row>
    <row r="25" spans="2:64" ht="13.5" thickBot="1" x14ac:dyDescent="0.25">
      <c r="B25" s="700">
        <v>2</v>
      </c>
      <c r="C25" s="701"/>
      <c r="D25" s="296"/>
      <c r="E25" s="297"/>
      <c r="F25" s="297"/>
      <c r="G25" s="297"/>
      <c r="H25" s="297"/>
      <c r="I25" s="300">
        <v>16</v>
      </c>
      <c r="J25" s="298"/>
      <c r="K25" s="297"/>
      <c r="L25" s="297"/>
      <c r="M25" s="298"/>
      <c r="N25" s="298"/>
      <c r="O25" s="297"/>
      <c r="P25" s="297"/>
      <c r="Q25" s="297"/>
      <c r="R25" s="297"/>
      <c r="S25" s="297"/>
      <c r="T25" s="299" t="s">
        <v>201</v>
      </c>
      <c r="U25" s="682" t="s">
        <v>199</v>
      </c>
      <c r="V25" s="682" t="s">
        <v>199</v>
      </c>
      <c r="W25" s="297"/>
      <c r="X25" s="297"/>
      <c r="Y25" s="297"/>
      <c r="Z25" s="297"/>
      <c r="AA25" s="297"/>
      <c r="AB25" s="297"/>
      <c r="AC25" s="679">
        <v>20</v>
      </c>
      <c r="AD25" s="298"/>
      <c r="AE25" s="298"/>
      <c r="AF25" s="298"/>
      <c r="AG25" s="300"/>
      <c r="AH25" s="300"/>
      <c r="AI25" s="300"/>
      <c r="AJ25" s="300"/>
      <c r="AK25" s="300"/>
      <c r="AL25" s="300"/>
      <c r="AM25" s="300"/>
      <c r="AN25" s="300"/>
      <c r="AO25" s="300"/>
      <c r="AP25" s="300"/>
      <c r="AQ25" s="299" t="s">
        <v>201</v>
      </c>
      <c r="AR25" s="628">
        <v>0</v>
      </c>
      <c r="AS25" s="297">
        <v>0</v>
      </c>
      <c r="AT25" s="628">
        <v>0</v>
      </c>
      <c r="AU25" s="300" t="s">
        <v>199</v>
      </c>
      <c r="AV25" s="300" t="s">
        <v>199</v>
      </c>
      <c r="AW25" s="300" t="s">
        <v>199</v>
      </c>
      <c r="AX25" s="300" t="s">
        <v>199</v>
      </c>
      <c r="AY25" s="300" t="s">
        <v>199</v>
      </c>
      <c r="AZ25" s="300" t="s">
        <v>199</v>
      </c>
      <c r="BA25" s="300" t="s">
        <v>199</v>
      </c>
      <c r="BB25" s="300" t="s">
        <v>199</v>
      </c>
      <c r="BC25" s="301" t="s">
        <v>199</v>
      </c>
      <c r="BD25" s="302">
        <v>2</v>
      </c>
      <c r="BE25" s="629">
        <v>36</v>
      </c>
      <c r="BF25" s="303">
        <v>3</v>
      </c>
      <c r="BG25" s="303"/>
      <c r="BH25" s="303"/>
      <c r="BI25" s="303">
        <v>2</v>
      </c>
      <c r="BJ25" s="303"/>
      <c r="BK25" s="304">
        <v>11</v>
      </c>
      <c r="BL25" s="305">
        <f>SUM(BE25:BK25)</f>
        <v>52</v>
      </c>
    </row>
    <row r="26" spans="2:64" ht="13.5" thickBot="1" x14ac:dyDescent="0.25">
      <c r="B26" s="467"/>
      <c r="C26" s="468">
        <v>3</v>
      </c>
      <c r="D26" s="306"/>
      <c r="E26" s="307"/>
      <c r="F26" s="307"/>
      <c r="G26" s="307"/>
      <c r="H26" s="307"/>
      <c r="I26" s="311">
        <v>13</v>
      </c>
      <c r="J26" s="308"/>
      <c r="K26" s="307"/>
      <c r="L26" s="307"/>
      <c r="M26" s="308"/>
      <c r="N26" s="308"/>
      <c r="O26" s="297"/>
      <c r="P26" s="297"/>
      <c r="Q26" s="297" t="s">
        <v>201</v>
      </c>
      <c r="R26" s="297">
        <v>8</v>
      </c>
      <c r="S26" s="297">
        <v>8</v>
      </c>
      <c r="T26" s="297">
        <v>8</v>
      </c>
      <c r="U26" s="683" t="s">
        <v>199</v>
      </c>
      <c r="V26" s="683" t="s">
        <v>199</v>
      </c>
      <c r="W26" s="307"/>
      <c r="X26" s="307"/>
      <c r="Y26" s="307"/>
      <c r="Z26" s="307"/>
      <c r="AA26" s="307"/>
      <c r="AB26" s="307"/>
      <c r="AC26" s="680">
        <v>20</v>
      </c>
      <c r="AD26" s="298"/>
      <c r="AE26" s="298"/>
      <c r="AF26" s="308"/>
      <c r="AG26" s="300"/>
      <c r="AH26" s="311"/>
      <c r="AI26" s="311"/>
      <c r="AJ26" s="311"/>
      <c r="AK26" s="311"/>
      <c r="AL26" s="311"/>
      <c r="AM26" s="311"/>
      <c r="AN26" s="311"/>
      <c r="AO26" s="311"/>
      <c r="AP26" s="311"/>
      <c r="AQ26" s="469" t="s">
        <v>201</v>
      </c>
      <c r="AR26" s="469">
        <v>0</v>
      </c>
      <c r="AS26" s="469">
        <v>0</v>
      </c>
      <c r="AT26" s="469">
        <v>8</v>
      </c>
      <c r="AU26" s="469">
        <v>8</v>
      </c>
      <c r="AV26" s="311" t="s">
        <v>199</v>
      </c>
      <c r="AW26" s="311" t="s">
        <v>199</v>
      </c>
      <c r="AX26" s="311" t="s">
        <v>199</v>
      </c>
      <c r="AY26" s="311" t="s">
        <v>199</v>
      </c>
      <c r="AZ26" s="311" t="s">
        <v>199</v>
      </c>
      <c r="BA26" s="311" t="s">
        <v>199</v>
      </c>
      <c r="BB26" s="311" t="s">
        <v>199</v>
      </c>
      <c r="BC26" s="312" t="s">
        <v>199</v>
      </c>
      <c r="BD26" s="313">
        <v>3</v>
      </c>
      <c r="BE26" s="630">
        <v>33</v>
      </c>
      <c r="BF26" s="471">
        <v>2</v>
      </c>
      <c r="BG26" s="314">
        <v>5</v>
      </c>
      <c r="BH26" s="314"/>
      <c r="BI26" s="314">
        <v>2</v>
      </c>
      <c r="BJ26" s="314"/>
      <c r="BK26" s="315">
        <v>10</v>
      </c>
      <c r="BL26" s="470">
        <v>52</v>
      </c>
    </row>
    <row r="27" spans="2:64" ht="13.5" thickBot="1" x14ac:dyDescent="0.25">
      <c r="B27" s="702">
        <v>4</v>
      </c>
      <c r="C27" s="703"/>
      <c r="D27" s="306"/>
      <c r="E27" s="307"/>
      <c r="F27" s="307"/>
      <c r="G27" s="307"/>
      <c r="H27" s="307"/>
      <c r="I27" s="311">
        <v>10</v>
      </c>
      <c r="J27" s="308"/>
      <c r="K27" s="307"/>
      <c r="L27" s="307"/>
      <c r="M27" s="307"/>
      <c r="N27" s="299" t="s">
        <v>201</v>
      </c>
      <c r="O27" s="297">
        <v>0</v>
      </c>
      <c r="P27" s="297">
        <v>0</v>
      </c>
      <c r="Q27" s="297">
        <v>8</v>
      </c>
      <c r="R27" s="297">
        <v>8</v>
      </c>
      <c r="S27" s="297">
        <v>8</v>
      </c>
      <c r="T27" s="297">
        <v>8</v>
      </c>
      <c r="U27" s="683" t="s">
        <v>199</v>
      </c>
      <c r="V27" s="683" t="s">
        <v>199</v>
      </c>
      <c r="W27" s="307"/>
      <c r="X27" s="307"/>
      <c r="Y27" s="307"/>
      <c r="Z27" s="307"/>
      <c r="AA27" s="308"/>
      <c r="AB27" s="308"/>
      <c r="AC27" s="680">
        <v>7</v>
      </c>
      <c r="AD27" s="299" t="s">
        <v>201</v>
      </c>
      <c r="AE27" s="307">
        <v>8</v>
      </c>
      <c r="AF27" s="307">
        <v>8</v>
      </c>
      <c r="AG27" s="307">
        <v>8</v>
      </c>
      <c r="AH27" s="309">
        <v>8</v>
      </c>
      <c r="AI27" s="309">
        <v>8</v>
      </c>
      <c r="AJ27" s="309">
        <v>8</v>
      </c>
      <c r="AK27" s="310" t="s">
        <v>202</v>
      </c>
      <c r="AL27" s="310" t="s">
        <v>202</v>
      </c>
      <c r="AM27" s="310" t="s">
        <v>202</v>
      </c>
      <c r="AN27" s="310" t="s">
        <v>202</v>
      </c>
      <c r="AO27" s="308" t="s">
        <v>203</v>
      </c>
      <c r="AP27" s="308" t="s">
        <v>203</v>
      </c>
      <c r="AQ27" s="308" t="s">
        <v>203</v>
      </c>
      <c r="AR27" s="308" t="s">
        <v>203</v>
      </c>
      <c r="AS27" s="308" t="s">
        <v>204</v>
      </c>
      <c r="AT27" s="308" t="s">
        <v>204</v>
      </c>
      <c r="AU27" s="311"/>
      <c r="AV27" s="311"/>
      <c r="AW27" s="311"/>
      <c r="AX27" s="311"/>
      <c r="AY27" s="311"/>
      <c r="AZ27" s="311"/>
      <c r="BA27" s="311"/>
      <c r="BB27" s="311"/>
      <c r="BC27" s="312"/>
      <c r="BD27" s="313">
        <v>4</v>
      </c>
      <c r="BE27" s="631">
        <f>SUM(I27+AC27)</f>
        <v>17</v>
      </c>
      <c r="BF27" s="314">
        <v>2</v>
      </c>
      <c r="BG27" s="314">
        <v>10</v>
      </c>
      <c r="BH27" s="314">
        <v>4</v>
      </c>
      <c r="BI27" s="314">
        <v>2</v>
      </c>
      <c r="BJ27" s="314">
        <v>6</v>
      </c>
      <c r="BK27" s="315">
        <v>2</v>
      </c>
      <c r="BL27" s="470">
        <f>SUM(BE27:BK27)</f>
        <v>43</v>
      </c>
    </row>
    <row r="28" spans="2:64" ht="13.5" thickBot="1" x14ac:dyDescent="0.25">
      <c r="C28" s="316"/>
      <c r="BB28" s="704" t="s">
        <v>205</v>
      </c>
      <c r="BC28" s="705"/>
      <c r="BD28" s="706"/>
      <c r="BE28" s="632">
        <f>SUM(BE24:BE27)</f>
        <v>125</v>
      </c>
      <c r="BF28" s="632">
        <f t="shared" ref="BF28:BL28" si="0">SUM(BF24:BF27)</f>
        <v>7</v>
      </c>
      <c r="BG28" s="632">
        <f t="shared" si="0"/>
        <v>15</v>
      </c>
      <c r="BH28" s="632">
        <f t="shared" si="0"/>
        <v>4</v>
      </c>
      <c r="BI28" s="632">
        <f t="shared" si="0"/>
        <v>8</v>
      </c>
      <c r="BJ28" s="632">
        <f t="shared" si="0"/>
        <v>6</v>
      </c>
      <c r="BK28" s="632">
        <f t="shared" si="0"/>
        <v>34</v>
      </c>
      <c r="BL28" s="632">
        <f t="shared" si="0"/>
        <v>199</v>
      </c>
    </row>
    <row r="29" spans="2:64" x14ac:dyDescent="0.2">
      <c r="B29" s="688" t="s">
        <v>206</v>
      </c>
      <c r="C29" s="688"/>
      <c r="D29" s="688"/>
      <c r="E29" s="688"/>
      <c r="F29" s="688"/>
      <c r="G29" s="688"/>
      <c r="H29" s="264"/>
      <c r="I29" s="688" t="s">
        <v>207</v>
      </c>
      <c r="J29" s="688"/>
      <c r="K29" s="688"/>
      <c r="L29" s="688"/>
      <c r="M29" s="688"/>
      <c r="N29" s="688"/>
      <c r="O29" s="688"/>
      <c r="P29" s="264"/>
      <c r="Q29" s="688" t="s">
        <v>208</v>
      </c>
      <c r="R29" s="688"/>
      <c r="S29" s="688"/>
      <c r="T29" s="688"/>
      <c r="U29" s="688"/>
      <c r="V29" s="688"/>
      <c r="W29" s="688"/>
      <c r="X29" s="317"/>
      <c r="Y29" s="688" t="s">
        <v>209</v>
      </c>
      <c r="Z29" s="688"/>
      <c r="AA29" s="688"/>
      <c r="AB29" s="688"/>
      <c r="AC29" s="688"/>
      <c r="AD29" s="688"/>
      <c r="AE29" s="688"/>
      <c r="AF29" s="264"/>
      <c r="AG29" s="688" t="s">
        <v>30</v>
      </c>
      <c r="AH29" s="688"/>
      <c r="AI29" s="688"/>
      <c r="AJ29" s="688"/>
      <c r="AK29" s="688"/>
      <c r="AL29" s="688"/>
      <c r="AM29" s="688"/>
      <c r="AN29" s="264"/>
      <c r="AO29" s="688" t="s">
        <v>210</v>
      </c>
      <c r="AP29" s="688"/>
      <c r="AQ29" s="688"/>
      <c r="AR29" s="688"/>
      <c r="AS29" s="688"/>
      <c r="AT29" s="688"/>
      <c r="AU29" s="688"/>
      <c r="AV29" s="264"/>
      <c r="AW29" s="688" t="s">
        <v>211</v>
      </c>
      <c r="AX29" s="688"/>
      <c r="AY29" s="688"/>
      <c r="AZ29" s="688"/>
      <c r="BA29" s="688"/>
      <c r="BB29" s="688"/>
      <c r="BC29" s="688"/>
      <c r="BE29" s="688" t="s">
        <v>212</v>
      </c>
      <c r="BF29" s="688"/>
      <c r="BG29" s="688"/>
      <c r="BH29" s="688" t="s">
        <v>196</v>
      </c>
      <c r="BI29" s="688"/>
      <c r="BJ29" s="688"/>
      <c r="BK29" s="688"/>
      <c r="BL29" s="264"/>
    </row>
    <row r="30" spans="2:64" x14ac:dyDescent="0.2">
      <c r="B30" s="688"/>
      <c r="C30" s="688"/>
      <c r="D30" s="688"/>
      <c r="E30" s="688"/>
      <c r="F30" s="688"/>
      <c r="G30" s="688"/>
      <c r="H30" s="264"/>
      <c r="I30" s="688"/>
      <c r="J30" s="688"/>
      <c r="K30" s="688"/>
      <c r="L30" s="688"/>
      <c r="M30" s="688"/>
      <c r="N30" s="688"/>
      <c r="O30" s="688"/>
      <c r="P30" s="264"/>
      <c r="Q30" s="688"/>
      <c r="R30" s="688"/>
      <c r="S30" s="688"/>
      <c r="T30" s="688"/>
      <c r="U30" s="688"/>
      <c r="V30" s="688"/>
      <c r="W30" s="688"/>
      <c r="X30" s="317"/>
      <c r="Y30" s="688"/>
      <c r="Z30" s="688"/>
      <c r="AA30" s="688"/>
      <c r="AB30" s="688"/>
      <c r="AC30" s="688"/>
      <c r="AD30" s="688"/>
      <c r="AE30" s="688"/>
      <c r="AF30" s="264"/>
      <c r="AG30" s="688"/>
      <c r="AH30" s="688"/>
      <c r="AI30" s="688"/>
      <c r="AJ30" s="688"/>
      <c r="AK30" s="688"/>
      <c r="AL30" s="688"/>
      <c r="AM30" s="688"/>
      <c r="AN30" s="264"/>
      <c r="AO30" s="688"/>
      <c r="AP30" s="688"/>
      <c r="AQ30" s="688"/>
      <c r="AR30" s="688"/>
      <c r="AS30" s="688"/>
      <c r="AT30" s="688"/>
      <c r="AU30" s="688"/>
      <c r="AV30" s="264"/>
      <c r="AW30" s="688"/>
      <c r="AX30" s="688"/>
      <c r="AY30" s="688"/>
      <c r="AZ30" s="688"/>
      <c r="BA30" s="688"/>
      <c r="BB30" s="688"/>
      <c r="BC30" s="688"/>
      <c r="BE30" s="688"/>
      <c r="BF30" s="688"/>
      <c r="BG30" s="688"/>
      <c r="BH30" s="688"/>
      <c r="BI30" s="688"/>
      <c r="BJ30" s="688"/>
      <c r="BK30" s="688"/>
      <c r="BL30" s="264"/>
    </row>
    <row r="31" spans="2:64" x14ac:dyDescent="0.2">
      <c r="B31" s="688"/>
      <c r="C31" s="688"/>
      <c r="D31" s="688"/>
      <c r="E31" s="688"/>
      <c r="F31" s="688"/>
      <c r="G31" s="688"/>
      <c r="H31" s="264"/>
      <c r="I31" s="688"/>
      <c r="J31" s="688"/>
      <c r="K31" s="688"/>
      <c r="L31" s="688"/>
      <c r="M31" s="688"/>
      <c r="N31" s="688"/>
      <c r="O31" s="688"/>
      <c r="P31" s="264"/>
      <c r="Q31" s="688"/>
      <c r="R31" s="688"/>
      <c r="S31" s="688"/>
      <c r="T31" s="688"/>
      <c r="U31" s="688"/>
      <c r="V31" s="688"/>
      <c r="W31" s="688"/>
      <c r="X31" s="317"/>
      <c r="Y31" s="688"/>
      <c r="Z31" s="688"/>
      <c r="AA31" s="688"/>
      <c r="AB31" s="688"/>
      <c r="AC31" s="688"/>
      <c r="AD31" s="688"/>
      <c r="AE31" s="688"/>
      <c r="AF31" s="264"/>
      <c r="AG31" s="688"/>
      <c r="AH31" s="688"/>
      <c r="AI31" s="688"/>
      <c r="AJ31" s="688"/>
      <c r="AK31" s="688"/>
      <c r="AL31" s="688"/>
      <c r="AM31" s="688"/>
      <c r="AN31" s="264"/>
      <c r="AO31" s="688"/>
      <c r="AP31" s="688"/>
      <c r="AQ31" s="688"/>
      <c r="AR31" s="688"/>
      <c r="AS31" s="688"/>
      <c r="AT31" s="688"/>
      <c r="AU31" s="688"/>
      <c r="AV31" s="264"/>
      <c r="AW31" s="688"/>
      <c r="AX31" s="688"/>
      <c r="AY31" s="688"/>
      <c r="AZ31" s="688"/>
      <c r="BA31" s="688"/>
      <c r="BB31" s="688"/>
      <c r="BC31" s="688"/>
      <c r="BE31" s="688"/>
      <c r="BF31" s="688"/>
      <c r="BG31" s="688"/>
      <c r="BH31" s="688"/>
      <c r="BI31" s="688"/>
      <c r="BJ31" s="688"/>
      <c r="BK31" s="688"/>
      <c r="BL31" s="264"/>
    </row>
    <row r="32" spans="2:64" x14ac:dyDescent="0.2">
      <c r="B32" s="688"/>
      <c r="C32" s="688"/>
      <c r="D32" s="688"/>
      <c r="E32" s="688"/>
      <c r="F32" s="688"/>
      <c r="G32" s="688"/>
      <c r="H32" s="264"/>
      <c r="I32" s="688"/>
      <c r="J32" s="688"/>
      <c r="K32" s="688"/>
      <c r="L32" s="688"/>
      <c r="M32" s="688"/>
      <c r="N32" s="688"/>
      <c r="O32" s="688"/>
      <c r="P32" s="264"/>
      <c r="Q32" s="688"/>
      <c r="R32" s="688"/>
      <c r="S32" s="688"/>
      <c r="T32" s="688"/>
      <c r="U32" s="688"/>
      <c r="V32" s="688"/>
      <c r="W32" s="688"/>
      <c r="X32" s="317"/>
      <c r="Y32" s="688"/>
      <c r="Z32" s="688"/>
      <c r="AA32" s="688"/>
      <c r="AB32" s="688"/>
      <c r="AC32" s="688"/>
      <c r="AD32" s="688"/>
      <c r="AE32" s="688"/>
      <c r="AF32" s="264"/>
      <c r="AG32" s="688"/>
      <c r="AH32" s="688"/>
      <c r="AI32" s="688"/>
      <c r="AJ32" s="688"/>
      <c r="AK32" s="688"/>
      <c r="AL32" s="688"/>
      <c r="AM32" s="688"/>
      <c r="AN32" s="264"/>
      <c r="AO32" s="688"/>
      <c r="AP32" s="688"/>
      <c r="AQ32" s="688"/>
      <c r="AR32" s="688"/>
      <c r="AS32" s="688"/>
      <c r="AT32" s="688"/>
      <c r="AU32" s="688"/>
      <c r="AV32" s="264"/>
      <c r="AW32" s="688"/>
      <c r="AX32" s="688"/>
      <c r="AY32" s="688"/>
      <c r="AZ32" s="688"/>
      <c r="BA32" s="688"/>
      <c r="BB32" s="688"/>
      <c r="BC32" s="688"/>
      <c r="BE32" s="688"/>
      <c r="BF32" s="688"/>
      <c r="BG32" s="688"/>
      <c r="BH32" s="688"/>
      <c r="BI32" s="688"/>
      <c r="BJ32" s="688"/>
      <c r="BK32" s="688"/>
      <c r="BL32" s="264"/>
    </row>
    <row r="33" spans="3:64" x14ac:dyDescent="0.2">
      <c r="C33" s="316"/>
      <c r="D33" s="318"/>
      <c r="E33" s="318"/>
      <c r="F33" s="318"/>
      <c r="G33" s="318"/>
      <c r="H33" s="318"/>
      <c r="I33" s="318"/>
      <c r="J33" s="264"/>
      <c r="K33" s="264"/>
      <c r="L33" s="264"/>
      <c r="M33" s="318"/>
      <c r="N33" s="318"/>
      <c r="O33" s="318"/>
      <c r="P33" s="318"/>
      <c r="Q33" s="318"/>
      <c r="R33" s="319"/>
      <c r="S33" s="320"/>
      <c r="T33" s="318"/>
      <c r="U33" s="318"/>
      <c r="V33" s="318"/>
      <c r="W33" s="318"/>
      <c r="X33" s="318"/>
      <c r="Y33" s="318"/>
      <c r="Z33" s="318"/>
      <c r="AA33" s="318"/>
      <c r="AB33" s="321"/>
      <c r="AC33" s="321"/>
      <c r="AD33" s="318"/>
      <c r="AE33" s="318"/>
      <c r="AF33" s="318"/>
      <c r="AG33" s="318"/>
      <c r="AH33" s="318"/>
      <c r="AI33" s="318"/>
      <c r="AJ33" s="264"/>
      <c r="AK33" s="264"/>
      <c r="AL33" s="264"/>
      <c r="AM33" s="318"/>
      <c r="AN33" s="318"/>
      <c r="AO33" s="318"/>
      <c r="AP33" s="318"/>
      <c r="AQ33" s="318"/>
      <c r="AR33" s="321"/>
      <c r="AS33" s="321"/>
      <c r="AT33" s="318"/>
      <c r="AU33" s="318"/>
      <c r="AV33" s="318"/>
      <c r="AW33" s="318"/>
      <c r="AX33" s="318"/>
      <c r="AY33" s="318"/>
      <c r="AZ33" s="321"/>
      <c r="BA33" s="321"/>
      <c r="BB33" s="318"/>
      <c r="BC33" s="318"/>
      <c r="BD33" s="318"/>
      <c r="BE33" s="321"/>
      <c r="BF33" s="318"/>
      <c r="BG33" s="318"/>
      <c r="BH33" s="321"/>
      <c r="BI33" s="264"/>
      <c r="BJ33" s="264"/>
      <c r="BK33" s="264"/>
      <c r="BL33" s="264"/>
    </row>
    <row r="34" spans="3:64" x14ac:dyDescent="0.2">
      <c r="K34" s="689"/>
      <c r="L34" s="690"/>
      <c r="M34" s="691"/>
      <c r="P34" s="264"/>
      <c r="Q34" s="264"/>
      <c r="S34" s="695">
        <v>0</v>
      </c>
      <c r="T34" s="696"/>
      <c r="U34" s="685"/>
      <c r="V34" s="322"/>
      <c r="W34" s="322"/>
      <c r="X34" s="322"/>
      <c r="Y34" s="322"/>
      <c r="Z34" s="322"/>
      <c r="AA34" s="695">
        <v>8</v>
      </c>
      <c r="AB34" s="696"/>
      <c r="AC34" s="685"/>
      <c r="AD34" s="322"/>
      <c r="AE34" s="322"/>
      <c r="AF34" s="322"/>
      <c r="AG34" s="322"/>
      <c r="AH34" s="322"/>
      <c r="AI34" s="695" t="s">
        <v>202</v>
      </c>
      <c r="AJ34" s="696"/>
      <c r="AK34" s="685"/>
      <c r="AL34" s="322"/>
      <c r="AM34" s="322"/>
      <c r="AN34" s="322"/>
      <c r="AO34" s="322"/>
      <c r="AP34" s="322"/>
      <c r="AQ34" s="695" t="s">
        <v>213</v>
      </c>
      <c r="AR34" s="696"/>
      <c r="AS34" s="685"/>
      <c r="AT34" s="322"/>
      <c r="AU34" s="322"/>
      <c r="AV34" s="322"/>
      <c r="AW34" s="322"/>
      <c r="AX34" s="322"/>
      <c r="AY34" s="695" t="s">
        <v>204</v>
      </c>
      <c r="AZ34" s="696"/>
      <c r="BA34" s="685"/>
      <c r="BB34" s="322"/>
      <c r="BC34" s="322"/>
      <c r="BD34" s="322"/>
      <c r="BE34" s="322"/>
      <c r="BF34" s="684" t="s">
        <v>203</v>
      </c>
      <c r="BG34" s="685"/>
      <c r="BH34" s="322"/>
      <c r="BI34" s="684" t="s">
        <v>199</v>
      </c>
      <c r="BJ34" s="685"/>
      <c r="BK34" s="321"/>
      <c r="BL34" s="264"/>
    </row>
    <row r="35" spans="3:64" x14ac:dyDescent="0.2">
      <c r="K35" s="692"/>
      <c r="L35" s="693"/>
      <c r="M35" s="694"/>
      <c r="P35" s="264"/>
      <c r="Q35" s="264"/>
      <c r="S35" s="686"/>
      <c r="T35" s="697"/>
      <c r="U35" s="687"/>
      <c r="V35" s="322"/>
      <c r="W35" s="322"/>
      <c r="X35" s="322"/>
      <c r="Y35" s="322"/>
      <c r="Z35" s="322"/>
      <c r="AA35" s="686"/>
      <c r="AB35" s="697"/>
      <c r="AC35" s="687"/>
      <c r="AD35" s="322"/>
      <c r="AE35" s="322"/>
      <c r="AF35" s="322"/>
      <c r="AG35" s="322"/>
      <c r="AH35" s="322"/>
      <c r="AI35" s="686"/>
      <c r="AJ35" s="697"/>
      <c r="AK35" s="687"/>
      <c r="AL35" s="322"/>
      <c r="AM35" s="322"/>
      <c r="AN35" s="322"/>
      <c r="AO35" s="322"/>
      <c r="AP35" s="322"/>
      <c r="AQ35" s="686"/>
      <c r="AR35" s="697"/>
      <c r="AS35" s="687"/>
      <c r="AT35" s="322"/>
      <c r="AU35" s="322"/>
      <c r="AV35" s="322"/>
      <c r="AW35" s="322"/>
      <c r="AX35" s="322"/>
      <c r="AY35" s="686"/>
      <c r="AZ35" s="697"/>
      <c r="BA35" s="687"/>
      <c r="BB35" s="322"/>
      <c r="BC35" s="322"/>
      <c r="BD35" s="322"/>
      <c r="BE35" s="322"/>
      <c r="BF35" s="686"/>
      <c r="BG35" s="687"/>
      <c r="BH35" s="322"/>
      <c r="BI35" s="686"/>
      <c r="BJ35" s="687"/>
      <c r="BK35" s="321"/>
      <c r="BL35" s="264"/>
    </row>
  </sheetData>
  <mergeCells count="69">
    <mergeCell ref="BD13:BL13"/>
    <mergeCell ref="W4:BA4"/>
    <mergeCell ref="S5:BE5"/>
    <mergeCell ref="D6:M6"/>
    <mergeCell ref="W6:BA6"/>
    <mergeCell ref="BD6:BL6"/>
    <mergeCell ref="D7:Q7"/>
    <mergeCell ref="W7:BA7"/>
    <mergeCell ref="BD7:BL11"/>
    <mergeCell ref="D8:R8"/>
    <mergeCell ref="W8:BA8"/>
    <mergeCell ref="M14:P15"/>
    <mergeCell ref="D9:R9"/>
    <mergeCell ref="W9:BA9"/>
    <mergeCell ref="W10:BA10"/>
    <mergeCell ref="W11:BA11"/>
    <mergeCell ref="B13:BC13"/>
    <mergeCell ref="B14:C23"/>
    <mergeCell ref="D14:G15"/>
    <mergeCell ref="H14:H23"/>
    <mergeCell ref="I14:K15"/>
    <mergeCell ref="L14:L23"/>
    <mergeCell ref="AQ14:AT15"/>
    <mergeCell ref="Q14:T15"/>
    <mergeCell ref="U14:U23"/>
    <mergeCell ref="V14:X15"/>
    <mergeCell ref="Y14:Y23"/>
    <mergeCell ref="Z14:AB15"/>
    <mergeCell ref="AC14:AC23"/>
    <mergeCell ref="AD14:AG15"/>
    <mergeCell ref="AH14:AH23"/>
    <mergeCell ref="AI14:AK15"/>
    <mergeCell ref="AL14:AL23"/>
    <mergeCell ref="AM14:AP15"/>
    <mergeCell ref="BL14:BL23"/>
    <mergeCell ref="BG16:BG23"/>
    <mergeCell ref="BH16:BH23"/>
    <mergeCell ref="AU14:AU23"/>
    <mergeCell ref="AV14:AX15"/>
    <mergeCell ref="AY14:AY23"/>
    <mergeCell ref="AZ14:BC15"/>
    <mergeCell ref="BD14:BD23"/>
    <mergeCell ref="BE14:BE23"/>
    <mergeCell ref="BF14:BF23"/>
    <mergeCell ref="BG14:BH15"/>
    <mergeCell ref="BI14:BI23"/>
    <mergeCell ref="BJ14:BJ23"/>
    <mergeCell ref="BK14:BK23"/>
    <mergeCell ref="B24:C24"/>
    <mergeCell ref="B25:C25"/>
    <mergeCell ref="B27:C27"/>
    <mergeCell ref="BB28:BD28"/>
    <mergeCell ref="B29:G32"/>
    <mergeCell ref="I29:O32"/>
    <mergeCell ref="Q29:W32"/>
    <mergeCell ref="Y29:AE32"/>
    <mergeCell ref="AG29:AM32"/>
    <mergeCell ref="AO29:AU32"/>
    <mergeCell ref="BI34:BJ35"/>
    <mergeCell ref="AW29:BC32"/>
    <mergeCell ref="BE29:BG32"/>
    <mergeCell ref="BH29:BK32"/>
    <mergeCell ref="K34:M35"/>
    <mergeCell ref="S34:U35"/>
    <mergeCell ref="AA34:AC35"/>
    <mergeCell ref="AI34:AK35"/>
    <mergeCell ref="AQ34:AS35"/>
    <mergeCell ref="AY34:BA35"/>
    <mergeCell ref="BF34:BG35"/>
  </mergeCells>
  <phoneticPr fontId="30" type="noConversion"/>
  <pageMargins left="0.19685039370078741" right="0.19685039370078741" top="0.78740157480314965" bottom="0.39370078740157483" header="0.39370078740157483" footer="0.39370078740157483"/>
  <pageSetup paperSize="9" scale="9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M108"/>
  <sheetViews>
    <sheetView showGridLines="0" tabSelected="1" zoomScale="70" zoomScaleNormal="70" zoomScaleSheetLayoutView="85" zoomScalePageLayoutView="70" workbookViewId="0">
      <pane xSplit="24" ySplit="13" topLeftCell="Y60" activePane="bottomRight" state="frozen"/>
      <selection pane="topRight" activeCell="Y1" sqref="Y1"/>
      <selection pane="bottomLeft" activeCell="A14" sqref="A14"/>
      <selection pane="bottomRight" activeCell="T21" sqref="T21"/>
    </sheetView>
  </sheetViews>
  <sheetFormatPr defaultRowHeight="12" x14ac:dyDescent="0.2"/>
  <cols>
    <col min="1" max="1" width="14.5703125" style="1" customWidth="1"/>
    <col min="2" max="2" width="47.7109375" style="1" customWidth="1"/>
    <col min="3" max="3" width="5.7109375" style="2" customWidth="1"/>
    <col min="4" max="4" width="8.140625" style="2" customWidth="1"/>
    <col min="5" max="5" width="5.7109375" style="2" customWidth="1"/>
    <col min="6" max="6" width="8.42578125" style="2" customWidth="1"/>
    <col min="7" max="7" width="7.7109375" style="2" customWidth="1"/>
    <col min="8" max="8" width="6" style="2" customWidth="1"/>
    <col min="9" max="10" width="4.7109375" style="2" customWidth="1"/>
    <col min="11" max="11" width="5.42578125" style="2" customWidth="1"/>
    <col min="12" max="12" width="6.28515625" style="2" customWidth="1"/>
    <col min="13" max="14" width="6.85546875" style="2" customWidth="1"/>
    <col min="15" max="15" width="7.42578125" style="2" customWidth="1"/>
    <col min="16" max="16" width="8.140625" style="2" customWidth="1"/>
    <col min="17" max="17" width="5.28515625" style="2" customWidth="1"/>
    <col min="18" max="18" width="4.85546875" style="2" customWidth="1"/>
    <col min="19" max="19" width="4.28515625" style="2" customWidth="1"/>
    <col min="20" max="20" width="4.5703125" style="2" customWidth="1"/>
    <col min="21" max="21" width="4.140625" style="2" customWidth="1"/>
    <col min="22" max="22" width="4.7109375" style="2" customWidth="1"/>
    <col min="23" max="23" width="6.140625" style="2" customWidth="1"/>
    <col min="24" max="24" width="5.140625" style="2" customWidth="1"/>
    <col min="25" max="26" width="3.85546875" style="2" customWidth="1"/>
    <col min="27" max="27" width="5" style="2" customWidth="1"/>
    <col min="28" max="28" width="4.85546875" style="2" customWidth="1"/>
    <col min="29" max="29" width="5.5703125" style="2" customWidth="1"/>
    <col min="30" max="30" width="4.5703125" style="2" customWidth="1"/>
    <col min="31" max="31" width="4.85546875" style="2" customWidth="1"/>
    <col min="32" max="32" width="4" style="2" customWidth="1"/>
    <col min="33" max="33" width="4.28515625" style="2" customWidth="1"/>
    <col min="34" max="34" width="4.7109375" style="2" customWidth="1"/>
    <col min="35" max="35" width="5" style="2" customWidth="1"/>
    <col min="36" max="36" width="4.42578125" style="2" customWidth="1"/>
    <col min="37" max="38" width="3.85546875" style="2" customWidth="1"/>
    <col min="39" max="39" width="5.140625" style="2" customWidth="1"/>
    <col min="40" max="41" width="5" style="2" customWidth="1"/>
    <col min="42" max="44" width="3.85546875" style="2" customWidth="1"/>
    <col min="45" max="45" width="5.140625" style="2" customWidth="1"/>
    <col min="46" max="46" width="5.5703125" style="2" customWidth="1"/>
    <col min="47" max="47" width="6.5703125" style="2" customWidth="1"/>
    <col min="48" max="48" width="4.7109375" style="2" customWidth="1"/>
    <col min="49" max="49" width="5" style="2" customWidth="1"/>
    <col min="50" max="50" width="4.5703125" style="2" customWidth="1"/>
    <col min="51" max="51" width="5.28515625" style="2" customWidth="1"/>
    <col min="52" max="52" width="5.7109375" style="2" customWidth="1"/>
    <col min="53" max="53" width="7.42578125" style="1" customWidth="1"/>
    <col min="54" max="54" width="6.140625" style="1" customWidth="1"/>
    <col min="55" max="55" width="6.42578125" style="1" customWidth="1"/>
    <col min="56" max="56" width="5" style="1" customWidth="1"/>
    <col min="57" max="57" width="5.85546875" style="1" customWidth="1"/>
    <col min="58" max="58" width="5.28515625" style="1" customWidth="1"/>
    <col min="59" max="59" width="6.7109375" style="1" customWidth="1"/>
    <col min="60" max="60" width="5" style="1" customWidth="1"/>
    <col min="61" max="61" width="6.85546875" style="1" customWidth="1"/>
    <col min="62" max="62" width="5.7109375" style="1" customWidth="1"/>
    <col min="63" max="63" width="5.85546875" style="1" customWidth="1"/>
    <col min="64" max="64" width="6.7109375" style="1" customWidth="1"/>
    <col min="65" max="16384" width="9.140625" style="1"/>
  </cols>
  <sheetData>
    <row r="2" spans="1:64" ht="21" customHeight="1" thickBot="1" x14ac:dyDescent="0.25">
      <c r="B2" s="27"/>
      <c r="C2" s="37"/>
      <c r="D2" s="767" t="s">
        <v>95</v>
      </c>
      <c r="E2" s="767"/>
      <c r="F2" s="767"/>
      <c r="G2" s="767"/>
      <c r="H2" s="767"/>
      <c r="I2" s="767"/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767"/>
      <c r="AA2" s="767"/>
      <c r="AB2" s="767"/>
      <c r="AC2" s="767"/>
      <c r="AD2" s="767"/>
      <c r="AE2" s="767"/>
      <c r="AF2" s="767"/>
      <c r="AG2" s="767"/>
      <c r="AH2" s="76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</row>
    <row r="3" spans="1:64" ht="13.5" thickBot="1" x14ac:dyDescent="0.25">
      <c r="A3" s="782" t="s">
        <v>0</v>
      </c>
      <c r="B3" s="785" t="s">
        <v>43</v>
      </c>
      <c r="C3" s="788" t="s">
        <v>6</v>
      </c>
      <c r="D3" s="789"/>
      <c r="E3" s="794" t="s">
        <v>83</v>
      </c>
      <c r="F3" s="797" t="s">
        <v>73</v>
      </c>
      <c r="G3" s="798"/>
      <c r="H3" s="798"/>
      <c r="I3" s="798"/>
      <c r="J3" s="798"/>
      <c r="K3" s="798"/>
      <c r="L3" s="798"/>
      <c r="M3" s="798"/>
      <c r="N3" s="798"/>
      <c r="O3" s="798"/>
      <c r="P3" s="799"/>
      <c r="Q3" s="771" t="s">
        <v>53</v>
      </c>
      <c r="R3" s="772"/>
      <c r="S3" s="772"/>
      <c r="T3" s="772"/>
      <c r="U3" s="772"/>
      <c r="V3" s="772"/>
      <c r="W3" s="772"/>
      <c r="X3" s="772"/>
      <c r="Y3" s="772"/>
      <c r="Z3" s="772"/>
      <c r="AA3" s="772"/>
      <c r="AB3" s="772"/>
      <c r="AC3" s="772"/>
      <c r="AD3" s="772"/>
      <c r="AE3" s="772"/>
      <c r="AF3" s="772"/>
      <c r="AG3" s="772"/>
      <c r="AH3" s="772"/>
      <c r="AI3" s="772"/>
      <c r="AJ3" s="772"/>
      <c r="AK3" s="772"/>
      <c r="AL3" s="772"/>
      <c r="AM3" s="772"/>
      <c r="AN3" s="772"/>
      <c r="AO3" s="772"/>
      <c r="AP3" s="772"/>
      <c r="AQ3" s="772"/>
      <c r="AR3" s="772"/>
      <c r="AS3" s="772"/>
      <c r="AT3" s="772"/>
      <c r="AU3" s="772"/>
      <c r="AV3" s="772"/>
      <c r="AW3" s="772"/>
      <c r="AX3" s="772"/>
      <c r="AY3" s="772"/>
      <c r="AZ3" s="772"/>
      <c r="BA3" s="772"/>
      <c r="BB3" s="772"/>
      <c r="BC3" s="772"/>
      <c r="BD3" s="772"/>
      <c r="BE3" s="772"/>
      <c r="BF3" s="772"/>
      <c r="BG3" s="772"/>
      <c r="BH3" s="772"/>
      <c r="BI3" s="772"/>
      <c r="BJ3" s="772"/>
      <c r="BK3" s="772"/>
      <c r="BL3" s="772"/>
    </row>
    <row r="4" spans="1:64" ht="13.5" thickBot="1" x14ac:dyDescent="0.25">
      <c r="A4" s="783"/>
      <c r="B4" s="786"/>
      <c r="C4" s="790"/>
      <c r="D4" s="791"/>
      <c r="E4" s="795"/>
      <c r="F4" s="800" t="s">
        <v>55</v>
      </c>
      <c r="G4" s="803" t="s">
        <v>57</v>
      </c>
      <c r="H4" s="806" t="s">
        <v>54</v>
      </c>
      <c r="I4" s="807"/>
      <c r="J4" s="807"/>
      <c r="K4" s="807"/>
      <c r="L4" s="807"/>
      <c r="M4" s="807"/>
      <c r="N4" s="807"/>
      <c r="O4" s="807"/>
      <c r="P4" s="808"/>
      <c r="Q4" s="773"/>
      <c r="R4" s="774"/>
      <c r="S4" s="774"/>
      <c r="T4" s="774"/>
      <c r="U4" s="774"/>
      <c r="V4" s="774"/>
      <c r="W4" s="774"/>
      <c r="X4" s="774"/>
      <c r="Y4" s="774"/>
      <c r="Z4" s="774"/>
      <c r="AA4" s="774"/>
      <c r="AB4" s="774"/>
      <c r="AC4" s="774"/>
      <c r="AD4" s="774"/>
      <c r="AE4" s="774"/>
      <c r="AF4" s="774"/>
      <c r="AG4" s="774"/>
      <c r="AH4" s="774"/>
      <c r="AI4" s="774"/>
      <c r="AJ4" s="774"/>
      <c r="AK4" s="774"/>
      <c r="AL4" s="774"/>
      <c r="AM4" s="774"/>
      <c r="AN4" s="774"/>
      <c r="AO4" s="774"/>
      <c r="AP4" s="774"/>
      <c r="AQ4" s="774"/>
      <c r="AR4" s="774"/>
      <c r="AS4" s="774"/>
      <c r="AT4" s="774"/>
      <c r="AU4" s="774"/>
      <c r="AV4" s="774"/>
      <c r="AW4" s="774"/>
      <c r="AX4" s="774"/>
      <c r="AY4" s="774"/>
      <c r="AZ4" s="774"/>
      <c r="BA4" s="774"/>
      <c r="BB4" s="774"/>
      <c r="BC4" s="774"/>
      <c r="BD4" s="774"/>
      <c r="BE4" s="774"/>
      <c r="BF4" s="774"/>
      <c r="BG4" s="774"/>
      <c r="BH4" s="774"/>
      <c r="BI4" s="774"/>
      <c r="BJ4" s="774"/>
      <c r="BK4" s="774"/>
      <c r="BL4" s="774"/>
    </row>
    <row r="5" spans="1:64" ht="36" customHeight="1" thickBot="1" x14ac:dyDescent="0.25">
      <c r="A5" s="783"/>
      <c r="B5" s="786"/>
      <c r="C5" s="792"/>
      <c r="D5" s="793"/>
      <c r="E5" s="795"/>
      <c r="F5" s="801"/>
      <c r="G5" s="804"/>
      <c r="H5" s="809" t="s">
        <v>56</v>
      </c>
      <c r="I5" s="812" t="s">
        <v>64</v>
      </c>
      <c r="J5" s="813"/>
      <c r="K5" s="813"/>
      <c r="L5" s="813"/>
      <c r="M5" s="813"/>
      <c r="N5" s="813"/>
      <c r="O5" s="813"/>
      <c r="P5" s="814"/>
      <c r="Q5" s="768" t="s">
        <v>1</v>
      </c>
      <c r="R5" s="769"/>
      <c r="S5" s="769"/>
      <c r="T5" s="769"/>
      <c r="U5" s="769"/>
      <c r="V5" s="769"/>
      <c r="W5" s="769"/>
      <c r="X5" s="769"/>
      <c r="Y5" s="769"/>
      <c r="Z5" s="769"/>
      <c r="AA5" s="769"/>
      <c r="AB5" s="770"/>
      <c r="AC5" s="768" t="s">
        <v>79</v>
      </c>
      <c r="AD5" s="769"/>
      <c r="AE5" s="769"/>
      <c r="AF5" s="769"/>
      <c r="AG5" s="769"/>
      <c r="AH5" s="769"/>
      <c r="AI5" s="769"/>
      <c r="AJ5" s="769"/>
      <c r="AK5" s="769"/>
      <c r="AL5" s="769"/>
      <c r="AM5" s="769"/>
      <c r="AN5" s="770"/>
      <c r="AO5" s="768" t="s">
        <v>78</v>
      </c>
      <c r="AP5" s="769"/>
      <c r="AQ5" s="769"/>
      <c r="AR5" s="769"/>
      <c r="AS5" s="769"/>
      <c r="AT5" s="769"/>
      <c r="AU5" s="769"/>
      <c r="AV5" s="769"/>
      <c r="AW5" s="769"/>
      <c r="AX5" s="769"/>
      <c r="AY5" s="769"/>
      <c r="AZ5" s="770"/>
      <c r="BA5" s="768" t="s">
        <v>276</v>
      </c>
      <c r="BB5" s="769"/>
      <c r="BC5" s="769"/>
      <c r="BD5" s="769"/>
      <c r="BE5" s="769"/>
      <c r="BF5" s="769"/>
      <c r="BG5" s="769"/>
      <c r="BH5" s="769"/>
      <c r="BI5" s="769"/>
      <c r="BJ5" s="769"/>
      <c r="BK5" s="769"/>
      <c r="BL5" s="770"/>
    </row>
    <row r="6" spans="1:64" ht="13.5" thickBot="1" x14ac:dyDescent="0.25">
      <c r="A6" s="783"/>
      <c r="B6" s="786"/>
      <c r="C6" s="803" t="s">
        <v>5</v>
      </c>
      <c r="D6" s="803" t="s">
        <v>44</v>
      </c>
      <c r="E6" s="795"/>
      <c r="F6" s="801"/>
      <c r="G6" s="804"/>
      <c r="H6" s="810"/>
      <c r="I6" s="817" t="s">
        <v>84</v>
      </c>
      <c r="J6" s="820" t="s">
        <v>68</v>
      </c>
      <c r="K6" s="820" t="s">
        <v>66</v>
      </c>
      <c r="L6" s="823" t="s">
        <v>65</v>
      </c>
      <c r="M6" s="788" t="s">
        <v>67</v>
      </c>
      <c r="N6" s="815"/>
      <c r="O6" s="815"/>
      <c r="P6" s="789"/>
      <c r="Q6" s="768" t="s">
        <v>80</v>
      </c>
      <c r="R6" s="769"/>
      <c r="S6" s="769"/>
      <c r="T6" s="769"/>
      <c r="U6" s="769"/>
      <c r="V6" s="770"/>
      <c r="W6" s="768" t="s">
        <v>81</v>
      </c>
      <c r="X6" s="769"/>
      <c r="Y6" s="769"/>
      <c r="Z6" s="769"/>
      <c r="AA6" s="769"/>
      <c r="AB6" s="770"/>
      <c r="AC6" s="768" t="s">
        <v>298</v>
      </c>
      <c r="AD6" s="769"/>
      <c r="AE6" s="769"/>
      <c r="AF6" s="769"/>
      <c r="AG6" s="769"/>
      <c r="AH6" s="770"/>
      <c r="AI6" s="769" t="s">
        <v>299</v>
      </c>
      <c r="AJ6" s="769"/>
      <c r="AK6" s="769"/>
      <c r="AL6" s="769"/>
      <c r="AM6" s="769"/>
      <c r="AN6" s="770"/>
      <c r="AO6" s="768" t="s">
        <v>300</v>
      </c>
      <c r="AP6" s="769"/>
      <c r="AQ6" s="769"/>
      <c r="AR6" s="769"/>
      <c r="AS6" s="769"/>
      <c r="AT6" s="770"/>
      <c r="AU6" s="769" t="s">
        <v>301</v>
      </c>
      <c r="AV6" s="769"/>
      <c r="AW6" s="769"/>
      <c r="AX6" s="769"/>
      <c r="AY6" s="769"/>
      <c r="AZ6" s="770"/>
      <c r="BA6" s="768" t="s">
        <v>291</v>
      </c>
      <c r="BB6" s="769"/>
      <c r="BC6" s="769"/>
      <c r="BD6" s="769"/>
      <c r="BE6" s="769"/>
      <c r="BF6" s="770"/>
      <c r="BG6" s="768" t="s">
        <v>292</v>
      </c>
      <c r="BH6" s="769"/>
      <c r="BI6" s="769"/>
      <c r="BJ6" s="769"/>
      <c r="BK6" s="769"/>
      <c r="BL6" s="770"/>
    </row>
    <row r="7" spans="1:64" ht="19.5" customHeight="1" thickBot="1" x14ac:dyDescent="0.25">
      <c r="A7" s="783"/>
      <c r="B7" s="786"/>
      <c r="C7" s="804"/>
      <c r="D7" s="804"/>
      <c r="E7" s="795"/>
      <c r="F7" s="801"/>
      <c r="G7" s="804"/>
      <c r="H7" s="810"/>
      <c r="I7" s="818"/>
      <c r="J7" s="821"/>
      <c r="K7" s="821"/>
      <c r="L7" s="824"/>
      <c r="M7" s="792"/>
      <c r="N7" s="816"/>
      <c r="O7" s="816"/>
      <c r="P7" s="816"/>
      <c r="Q7" s="780" t="s">
        <v>74</v>
      </c>
      <c r="R7" s="775" t="s">
        <v>67</v>
      </c>
      <c r="S7" s="776"/>
      <c r="T7" s="776"/>
      <c r="U7" s="776"/>
      <c r="V7" s="777"/>
      <c r="W7" s="778" t="s">
        <v>74</v>
      </c>
      <c r="X7" s="775" t="s">
        <v>67</v>
      </c>
      <c r="Y7" s="776"/>
      <c r="Z7" s="776"/>
      <c r="AA7" s="776"/>
      <c r="AB7" s="777"/>
      <c r="AC7" s="778" t="s">
        <v>74</v>
      </c>
      <c r="AD7" s="775" t="s">
        <v>64</v>
      </c>
      <c r="AE7" s="776"/>
      <c r="AF7" s="776"/>
      <c r="AG7" s="776"/>
      <c r="AH7" s="777"/>
      <c r="AI7" s="778" t="s">
        <v>74</v>
      </c>
      <c r="AJ7" s="775" t="s">
        <v>64</v>
      </c>
      <c r="AK7" s="776"/>
      <c r="AL7" s="776"/>
      <c r="AM7" s="776"/>
      <c r="AN7" s="777"/>
      <c r="AO7" s="778" t="s">
        <v>74</v>
      </c>
      <c r="AP7" s="775" t="s">
        <v>67</v>
      </c>
      <c r="AQ7" s="776"/>
      <c r="AR7" s="776"/>
      <c r="AS7" s="776"/>
      <c r="AT7" s="777"/>
      <c r="AU7" s="778" t="s">
        <v>74</v>
      </c>
      <c r="AV7" s="775" t="s">
        <v>67</v>
      </c>
      <c r="AW7" s="776"/>
      <c r="AX7" s="776"/>
      <c r="AY7" s="776"/>
      <c r="AZ7" s="777"/>
      <c r="BA7" s="780" t="s">
        <v>74</v>
      </c>
      <c r="BB7" s="775" t="s">
        <v>67</v>
      </c>
      <c r="BC7" s="776"/>
      <c r="BD7" s="776"/>
      <c r="BE7" s="776"/>
      <c r="BF7" s="777"/>
      <c r="BG7" s="778" t="s">
        <v>74</v>
      </c>
      <c r="BH7" s="775" t="s">
        <v>67</v>
      </c>
      <c r="BI7" s="776"/>
      <c r="BJ7" s="776"/>
      <c r="BK7" s="776"/>
      <c r="BL7" s="777"/>
    </row>
    <row r="8" spans="1:64" ht="167.25" thickBot="1" x14ac:dyDescent="0.25">
      <c r="A8" s="784"/>
      <c r="B8" s="787"/>
      <c r="C8" s="805"/>
      <c r="D8" s="805"/>
      <c r="E8" s="796"/>
      <c r="F8" s="802"/>
      <c r="G8" s="805"/>
      <c r="H8" s="811"/>
      <c r="I8" s="819"/>
      <c r="J8" s="822"/>
      <c r="K8" s="822"/>
      <c r="L8" s="825"/>
      <c r="M8" s="46" t="s">
        <v>71</v>
      </c>
      <c r="N8" s="263" t="s">
        <v>69</v>
      </c>
      <c r="O8" s="47" t="s">
        <v>160</v>
      </c>
      <c r="P8" s="97" t="s">
        <v>70</v>
      </c>
      <c r="Q8" s="781"/>
      <c r="R8" s="40" t="s">
        <v>75</v>
      </c>
      <c r="S8" s="40" t="s">
        <v>72</v>
      </c>
      <c r="T8" s="40" t="s">
        <v>58</v>
      </c>
      <c r="U8" s="40" t="s">
        <v>76</v>
      </c>
      <c r="V8" s="188" t="s">
        <v>77</v>
      </c>
      <c r="W8" s="779"/>
      <c r="X8" s="40" t="s">
        <v>75</v>
      </c>
      <c r="Y8" s="40" t="s">
        <v>72</v>
      </c>
      <c r="Z8" s="40" t="s">
        <v>58</v>
      </c>
      <c r="AA8" s="40" t="s">
        <v>76</v>
      </c>
      <c r="AB8" s="188" t="s">
        <v>77</v>
      </c>
      <c r="AC8" s="779"/>
      <c r="AD8" s="40" t="s">
        <v>75</v>
      </c>
      <c r="AE8" s="40" t="s">
        <v>72</v>
      </c>
      <c r="AF8" s="40" t="s">
        <v>58</v>
      </c>
      <c r="AG8" s="40" t="s">
        <v>76</v>
      </c>
      <c r="AH8" s="188" t="s">
        <v>77</v>
      </c>
      <c r="AI8" s="779"/>
      <c r="AJ8" s="40" t="s">
        <v>75</v>
      </c>
      <c r="AK8" s="40" t="s">
        <v>72</v>
      </c>
      <c r="AL8" s="40" t="s">
        <v>58</v>
      </c>
      <c r="AM8" s="40" t="s">
        <v>76</v>
      </c>
      <c r="AN8" s="188" t="s">
        <v>77</v>
      </c>
      <c r="AO8" s="779"/>
      <c r="AP8" s="40" t="s">
        <v>75</v>
      </c>
      <c r="AQ8" s="40" t="s">
        <v>72</v>
      </c>
      <c r="AR8" s="40" t="s">
        <v>58</v>
      </c>
      <c r="AS8" s="40" t="s">
        <v>76</v>
      </c>
      <c r="AT8" s="188" t="s">
        <v>77</v>
      </c>
      <c r="AU8" s="779"/>
      <c r="AV8" s="40" t="s">
        <v>75</v>
      </c>
      <c r="AW8" s="40" t="s">
        <v>72</v>
      </c>
      <c r="AX8" s="40" t="s">
        <v>58</v>
      </c>
      <c r="AY8" s="40" t="s">
        <v>76</v>
      </c>
      <c r="AZ8" s="188" t="s">
        <v>77</v>
      </c>
      <c r="BA8" s="781"/>
      <c r="BB8" s="40" t="s">
        <v>75</v>
      </c>
      <c r="BC8" s="40" t="s">
        <v>72</v>
      </c>
      <c r="BD8" s="40" t="s">
        <v>58</v>
      </c>
      <c r="BE8" s="40" t="s">
        <v>76</v>
      </c>
      <c r="BF8" s="188" t="s">
        <v>77</v>
      </c>
      <c r="BG8" s="779"/>
      <c r="BH8" s="40" t="s">
        <v>75</v>
      </c>
      <c r="BI8" s="40" t="s">
        <v>72</v>
      </c>
      <c r="BJ8" s="40" t="s">
        <v>58</v>
      </c>
      <c r="BK8" s="40" t="s">
        <v>76</v>
      </c>
      <c r="BL8" s="188" t="s">
        <v>77</v>
      </c>
    </row>
    <row r="9" spans="1:64" ht="16.5" thickBot="1" x14ac:dyDescent="0.25">
      <c r="A9" s="206"/>
      <c r="B9" s="207" t="s">
        <v>59</v>
      </c>
      <c r="C9" s="208">
        <v>16</v>
      </c>
      <c r="D9" s="209">
        <v>27</v>
      </c>
      <c r="E9" s="210">
        <v>12</v>
      </c>
      <c r="F9" s="325">
        <f>SUM(G9:H9)</f>
        <v>5940</v>
      </c>
      <c r="G9" s="325">
        <f>SUM(G98+G98+G10)</f>
        <v>127</v>
      </c>
      <c r="H9" s="325">
        <f t="shared" ref="H9:P9" si="0">SUM(H97+H98+H10)</f>
        <v>5813</v>
      </c>
      <c r="I9" s="325">
        <f t="shared" si="0"/>
        <v>392</v>
      </c>
      <c r="J9" s="325">
        <f t="shared" si="0"/>
        <v>108</v>
      </c>
      <c r="K9" s="325">
        <f t="shared" si="0"/>
        <v>648</v>
      </c>
      <c r="L9" s="325">
        <f t="shared" si="0"/>
        <v>4153</v>
      </c>
      <c r="M9" s="325">
        <f t="shared" si="0"/>
        <v>92</v>
      </c>
      <c r="N9" s="325">
        <f t="shared" si="0"/>
        <v>96</v>
      </c>
      <c r="O9" s="325">
        <f t="shared" si="0"/>
        <v>96</v>
      </c>
      <c r="P9" s="325">
        <f t="shared" si="0"/>
        <v>40</v>
      </c>
      <c r="Q9" s="325">
        <f t="shared" ref="Q9:V9" si="1">SUM(Q98+Q98+Q10)</f>
        <v>612</v>
      </c>
      <c r="R9" s="325">
        <f t="shared" si="1"/>
        <v>0</v>
      </c>
      <c r="S9" s="325">
        <f t="shared" si="1"/>
        <v>0</v>
      </c>
      <c r="T9" s="325">
        <f t="shared" si="1"/>
        <v>0</v>
      </c>
      <c r="U9" s="325">
        <f t="shared" si="1"/>
        <v>0</v>
      </c>
      <c r="V9" s="325">
        <f t="shared" si="1"/>
        <v>612</v>
      </c>
      <c r="W9" s="325">
        <f>SUM(W11+W21)</f>
        <v>864</v>
      </c>
      <c r="X9" s="325">
        <f t="shared" ref="X9:AN9" si="2">SUM(X98+X98+X10)</f>
        <v>0</v>
      </c>
      <c r="Y9" s="325">
        <f t="shared" si="2"/>
        <v>24</v>
      </c>
      <c r="Z9" s="325">
        <f t="shared" si="2"/>
        <v>48</v>
      </c>
      <c r="AA9" s="325">
        <f t="shared" si="2"/>
        <v>0</v>
      </c>
      <c r="AB9" s="325">
        <f t="shared" si="2"/>
        <v>792</v>
      </c>
      <c r="AC9" s="325">
        <f t="shared" si="2"/>
        <v>612</v>
      </c>
      <c r="AD9" s="325">
        <f t="shared" si="2"/>
        <v>0</v>
      </c>
      <c r="AE9" s="325">
        <f t="shared" si="2"/>
        <v>16</v>
      </c>
      <c r="AF9" s="325">
        <f t="shared" si="2"/>
        <v>0</v>
      </c>
      <c r="AG9" s="325">
        <f t="shared" si="2"/>
        <v>0</v>
      </c>
      <c r="AH9" s="325">
        <f t="shared" si="2"/>
        <v>596</v>
      </c>
      <c r="AI9" s="325">
        <f t="shared" si="2"/>
        <v>864</v>
      </c>
      <c r="AJ9" s="325">
        <f t="shared" si="2"/>
        <v>47</v>
      </c>
      <c r="AK9" s="325">
        <f t="shared" si="2"/>
        <v>16</v>
      </c>
      <c r="AL9" s="325">
        <f t="shared" si="2"/>
        <v>20</v>
      </c>
      <c r="AM9" s="325">
        <f t="shared" si="2"/>
        <v>108</v>
      </c>
      <c r="AN9" s="325">
        <f t="shared" si="2"/>
        <v>673</v>
      </c>
      <c r="AO9" s="325">
        <v>612</v>
      </c>
      <c r="AP9" s="325">
        <f>SUM(AP98+AP98+AP10)</f>
        <v>16</v>
      </c>
      <c r="AQ9" s="325">
        <f>SUM(AQ98+AQ98+AQ10)</f>
        <v>16</v>
      </c>
      <c r="AR9" s="325">
        <f>SUM(AR98+AR98+AR10)</f>
        <v>4</v>
      </c>
      <c r="AS9" s="325">
        <f>SUM(AS98+AS98+AS10)</f>
        <v>108</v>
      </c>
      <c r="AT9" s="325">
        <f>SUM(AT98+AT98+AT10)</f>
        <v>468</v>
      </c>
      <c r="AU9" s="325">
        <v>900</v>
      </c>
      <c r="AV9" s="325">
        <f>SUM(AV98+AV98+AV10)</f>
        <v>26</v>
      </c>
      <c r="AW9" s="325">
        <v>24</v>
      </c>
      <c r="AX9" s="325">
        <f>SUM(AX98+AX98+AX10)</f>
        <v>6</v>
      </c>
      <c r="AY9" s="325">
        <v>396</v>
      </c>
      <c r="AZ9" s="325">
        <f>SUM(AZ98+AZ98+AZ10)</f>
        <v>700</v>
      </c>
      <c r="BA9" s="325">
        <f t="shared" ref="BA9:BL9" si="3">SUM(BA85+BA85+BA10)</f>
        <v>612</v>
      </c>
      <c r="BB9" s="325">
        <f t="shared" si="3"/>
        <v>24</v>
      </c>
      <c r="BC9" s="325">
        <f t="shared" si="3"/>
        <v>16</v>
      </c>
      <c r="BD9" s="325">
        <f t="shared" si="3"/>
        <v>16</v>
      </c>
      <c r="BE9" s="325">
        <f t="shared" si="3"/>
        <v>216</v>
      </c>
      <c r="BF9" s="325">
        <f t="shared" si="3"/>
        <v>340</v>
      </c>
      <c r="BG9" s="325">
        <f>SUM(BG97+BG98+BG10)</f>
        <v>864</v>
      </c>
      <c r="BH9" s="325">
        <f t="shared" si="3"/>
        <v>14</v>
      </c>
      <c r="BI9" s="325">
        <f t="shared" si="3"/>
        <v>16</v>
      </c>
      <c r="BJ9" s="325">
        <f t="shared" si="3"/>
        <v>20</v>
      </c>
      <c r="BK9" s="325">
        <f t="shared" si="3"/>
        <v>216</v>
      </c>
      <c r="BL9" s="325">
        <f t="shared" si="3"/>
        <v>238</v>
      </c>
    </row>
    <row r="10" spans="1:64" ht="16.5" thickBot="1" x14ac:dyDescent="0.25">
      <c r="A10" s="212"/>
      <c r="B10" s="213" t="s">
        <v>82</v>
      </c>
      <c r="C10" s="208">
        <v>11</v>
      </c>
      <c r="D10" s="208">
        <v>17</v>
      </c>
      <c r="E10" s="208">
        <v>6</v>
      </c>
      <c r="F10" s="325">
        <f>SUM(F26+F33+F42+F57+F11)</f>
        <v>5580</v>
      </c>
      <c r="G10" s="324">
        <f>SUM(G57+G42+G39+G26+G11)</f>
        <v>127</v>
      </c>
      <c r="H10" s="324">
        <f>SUM(H11+H26+H33+H42+H57)</f>
        <v>5453</v>
      </c>
      <c r="I10" s="324">
        <f t="shared" ref="I10:O10" si="4">SUM(I11+I26+I33+I42+I57)</f>
        <v>176</v>
      </c>
      <c r="J10" s="324">
        <f t="shared" si="4"/>
        <v>108</v>
      </c>
      <c r="K10" s="324">
        <f t="shared" si="4"/>
        <v>504</v>
      </c>
      <c r="L10" s="324">
        <f t="shared" si="4"/>
        <v>4153</v>
      </c>
      <c r="M10" s="324">
        <f t="shared" si="4"/>
        <v>92</v>
      </c>
      <c r="N10" s="324">
        <f t="shared" si="4"/>
        <v>96</v>
      </c>
      <c r="O10" s="324">
        <f t="shared" si="4"/>
        <v>96</v>
      </c>
      <c r="P10" s="324">
        <f t="shared" ref="P10" si="5">SUM(P57+P42+P39+P26+P11)</f>
        <v>40</v>
      </c>
      <c r="Q10" s="324">
        <f>SUM(Q21+Q11)</f>
        <v>612</v>
      </c>
      <c r="R10" s="324">
        <f>SUM(R57+R42+R39+R26+R11)</f>
        <v>0</v>
      </c>
      <c r="S10" s="324">
        <f>SUM(S57+S42+S39+S26+S11)</f>
        <v>0</v>
      </c>
      <c r="T10" s="324">
        <f>SUM(T57+T42+T39+T26+T11)</f>
        <v>0</v>
      </c>
      <c r="U10" s="324">
        <f>SUM(U57+U42+U39+U26+U11)</f>
        <v>0</v>
      </c>
      <c r="V10" s="324">
        <f>SUM(V21+V11)</f>
        <v>612</v>
      </c>
      <c r="W10" s="325">
        <f>SUM(W21+W11)</f>
        <v>864</v>
      </c>
      <c r="X10" s="324">
        <f>SUM(X57+X42+X39+X26+X11)</f>
        <v>0</v>
      </c>
      <c r="Y10" s="324">
        <f>SUM(Y21+Y11)</f>
        <v>24</v>
      </c>
      <c r="Z10" s="324">
        <f>SUM(Z21+Z11)</f>
        <v>48</v>
      </c>
      <c r="AA10" s="324">
        <f>SUM(AA57+AA42+AA39+AA26+AA11)</f>
        <v>0</v>
      </c>
      <c r="AB10" s="324">
        <f>SUM(AB21+AB11)</f>
        <v>792</v>
      </c>
      <c r="AC10" s="324">
        <f>SUM(AC26+AC33+AC42)</f>
        <v>612</v>
      </c>
      <c r="AD10" s="324">
        <f t="shared" ref="AD10:AG10" si="6">SUM(AD26+AD33+AD42)</f>
        <v>0</v>
      </c>
      <c r="AE10" s="324">
        <f t="shared" si="6"/>
        <v>16</v>
      </c>
      <c r="AF10" s="324">
        <f t="shared" si="6"/>
        <v>0</v>
      </c>
      <c r="AG10" s="324">
        <f t="shared" si="6"/>
        <v>0</v>
      </c>
      <c r="AH10" s="324">
        <f>SUM(AH26+AH33+AH42)</f>
        <v>596</v>
      </c>
      <c r="AI10" s="324">
        <f>SUM(AI26+AI42+AI57+AI33)</f>
        <v>864</v>
      </c>
      <c r="AJ10" s="324">
        <f>SUM(AJ57+AJ42+AJ39+AJ26+AJ11)</f>
        <v>47</v>
      </c>
      <c r="AK10" s="324">
        <f>SUM(AK57+AK42+AK39+AK26+AK11)</f>
        <v>16</v>
      </c>
      <c r="AL10" s="324">
        <f>SUM(AL57+AL42+AL39+AL26+AL11)</f>
        <v>20</v>
      </c>
      <c r="AM10" s="324">
        <f>SUM(AM57+AM42+AM39+AM26+AM11)</f>
        <v>108</v>
      </c>
      <c r="AN10" s="324">
        <f>SUM(AN26+AN33+AN42+AN57)</f>
        <v>673</v>
      </c>
      <c r="AO10" s="324">
        <f>SUM(AO26+AO33+AO42+AO57)</f>
        <v>612</v>
      </c>
      <c r="AP10" s="324">
        <f t="shared" ref="AP10:AT10" si="7">SUM(AP26+AP33+AP42+AP57)</f>
        <v>16</v>
      </c>
      <c r="AQ10" s="324">
        <f t="shared" si="7"/>
        <v>16</v>
      </c>
      <c r="AR10" s="324">
        <f t="shared" si="7"/>
        <v>4</v>
      </c>
      <c r="AS10" s="324">
        <f t="shared" si="7"/>
        <v>108</v>
      </c>
      <c r="AT10" s="324">
        <f t="shared" si="7"/>
        <v>468</v>
      </c>
      <c r="AU10" s="324">
        <f>SUM(AU26+AU33+AU42+AU57)</f>
        <v>900</v>
      </c>
      <c r="AV10" s="324">
        <f t="shared" ref="AV10:AY10" si="8">SUM(AV26+AV33+AV42+AV57)</f>
        <v>26</v>
      </c>
      <c r="AW10" s="324">
        <f t="shared" si="8"/>
        <v>24</v>
      </c>
      <c r="AX10" s="324">
        <f t="shared" si="8"/>
        <v>6</v>
      </c>
      <c r="AY10" s="324">
        <f t="shared" si="8"/>
        <v>144</v>
      </c>
      <c r="AZ10" s="324">
        <f>SUM(AZ26+AZ33+AZ42+AZ57)</f>
        <v>700</v>
      </c>
      <c r="BA10" s="324">
        <f>SUM(BA26+BA57)</f>
        <v>612</v>
      </c>
      <c r="BB10" s="324">
        <f t="shared" ref="BB10:BF10" si="9">SUM(BB26+BB57)</f>
        <v>24</v>
      </c>
      <c r="BC10" s="324">
        <f t="shared" si="9"/>
        <v>16</v>
      </c>
      <c r="BD10" s="324">
        <f t="shared" si="9"/>
        <v>16</v>
      </c>
      <c r="BE10" s="324">
        <f t="shared" si="9"/>
        <v>216</v>
      </c>
      <c r="BF10" s="324">
        <f t="shared" si="9"/>
        <v>340</v>
      </c>
      <c r="BG10" s="324">
        <f>SUM(BG21+BG26+BG33+BG42+BG57)</f>
        <v>504</v>
      </c>
      <c r="BH10" s="324">
        <f t="shared" ref="BH10:BK10" si="10">SUM(BH26+BH42+BH57)</f>
        <v>14</v>
      </c>
      <c r="BI10" s="324">
        <f t="shared" si="10"/>
        <v>16</v>
      </c>
      <c r="BJ10" s="324">
        <f t="shared" si="10"/>
        <v>20</v>
      </c>
      <c r="BK10" s="324">
        <f t="shared" si="10"/>
        <v>216</v>
      </c>
      <c r="BL10" s="324">
        <f>SUM(BL26+BL42+BL57)</f>
        <v>238</v>
      </c>
    </row>
    <row r="11" spans="1:64" ht="19.5" customHeight="1" thickBot="1" x14ac:dyDescent="0.25">
      <c r="A11" s="211" t="s">
        <v>52</v>
      </c>
      <c r="B11" s="217" t="s">
        <v>61</v>
      </c>
      <c r="C11" s="214">
        <v>5</v>
      </c>
      <c r="D11" s="215">
        <v>10</v>
      </c>
      <c r="E11" s="216">
        <v>6</v>
      </c>
      <c r="F11" s="382">
        <f>SUM(F12:F21)</f>
        <v>1476</v>
      </c>
      <c r="G11" s="323">
        <f t="shared" ref="G11" si="11">SUM(G12:G23)</f>
        <v>0</v>
      </c>
      <c r="H11" s="382">
        <f>SUM(H12:H21)</f>
        <v>1476</v>
      </c>
      <c r="I11" s="323">
        <f t="shared" ref="I11:L11" si="12">SUM(I12:I21)</f>
        <v>24</v>
      </c>
      <c r="J11" s="323">
        <f t="shared" si="12"/>
        <v>48</v>
      </c>
      <c r="K11" s="323">
        <f t="shared" si="12"/>
        <v>0</v>
      </c>
      <c r="L11" s="323">
        <f t="shared" si="12"/>
        <v>1404</v>
      </c>
      <c r="M11" s="323">
        <f t="shared" ref="M11:AZ11" si="13">SUM(M12:M23)</f>
        <v>0</v>
      </c>
      <c r="N11" s="323">
        <f t="shared" si="13"/>
        <v>0</v>
      </c>
      <c r="O11" s="323">
        <f t="shared" si="13"/>
        <v>0</v>
      </c>
      <c r="P11" s="323">
        <f t="shared" si="13"/>
        <v>0</v>
      </c>
      <c r="Q11" s="323">
        <f>SUM(Q12:Q20)</f>
        <v>374</v>
      </c>
      <c r="R11" s="323">
        <f t="shared" si="13"/>
        <v>0</v>
      </c>
      <c r="S11" s="323">
        <f t="shared" si="13"/>
        <v>0</v>
      </c>
      <c r="T11" s="323">
        <f t="shared" si="13"/>
        <v>0</v>
      </c>
      <c r="U11" s="323">
        <f t="shared" si="13"/>
        <v>0</v>
      </c>
      <c r="V11" s="323">
        <f>SUM(V12:V20)</f>
        <v>374</v>
      </c>
      <c r="W11" s="323">
        <f>SUM(W12:W20)</f>
        <v>520</v>
      </c>
      <c r="X11" s="323">
        <f t="shared" si="13"/>
        <v>0</v>
      </c>
      <c r="Y11" s="323">
        <f>SUM(Y12:Y20)</f>
        <v>4</v>
      </c>
      <c r="Z11" s="323">
        <f>SUM(Z12:Z20)</f>
        <v>10</v>
      </c>
      <c r="AA11" s="323">
        <f t="shared" si="13"/>
        <v>0</v>
      </c>
      <c r="AB11" s="323">
        <f>SUM(AB12:AB20)</f>
        <v>506</v>
      </c>
      <c r="AC11" s="323">
        <f t="shared" si="13"/>
        <v>0</v>
      </c>
      <c r="AD11" s="323">
        <f t="shared" si="13"/>
        <v>0</v>
      </c>
      <c r="AE11" s="323">
        <f t="shared" si="13"/>
        <v>0</v>
      </c>
      <c r="AF11" s="323">
        <f t="shared" si="13"/>
        <v>0</v>
      </c>
      <c r="AG11" s="323">
        <f t="shared" si="13"/>
        <v>0</v>
      </c>
      <c r="AH11" s="323">
        <f t="shared" si="13"/>
        <v>0</v>
      </c>
      <c r="AI11" s="323">
        <f t="shared" si="13"/>
        <v>0</v>
      </c>
      <c r="AJ11" s="323">
        <f t="shared" si="13"/>
        <v>0</v>
      </c>
      <c r="AK11" s="323">
        <f t="shared" si="13"/>
        <v>0</v>
      </c>
      <c r="AL11" s="323">
        <f t="shared" si="13"/>
        <v>0</v>
      </c>
      <c r="AM11" s="323">
        <f t="shared" si="13"/>
        <v>0</v>
      </c>
      <c r="AN11" s="323">
        <f t="shared" si="13"/>
        <v>0</v>
      </c>
      <c r="AO11" s="323">
        <f t="shared" si="13"/>
        <v>0</v>
      </c>
      <c r="AP11" s="323">
        <f t="shared" si="13"/>
        <v>0</v>
      </c>
      <c r="AQ11" s="323">
        <f t="shared" si="13"/>
        <v>0</v>
      </c>
      <c r="AR11" s="323">
        <f t="shared" si="13"/>
        <v>0</v>
      </c>
      <c r="AS11" s="323">
        <f t="shared" si="13"/>
        <v>0</v>
      </c>
      <c r="AT11" s="323">
        <f t="shared" si="13"/>
        <v>0</v>
      </c>
      <c r="AU11" s="323">
        <f t="shared" si="13"/>
        <v>0</v>
      </c>
      <c r="AV11" s="323">
        <f t="shared" si="13"/>
        <v>0</v>
      </c>
      <c r="AW11" s="323">
        <f t="shared" si="13"/>
        <v>0</v>
      </c>
      <c r="AX11" s="323">
        <f t="shared" si="13"/>
        <v>0</v>
      </c>
      <c r="AY11" s="323">
        <f t="shared" si="13"/>
        <v>0</v>
      </c>
      <c r="AZ11" s="323">
        <f t="shared" si="13"/>
        <v>0</v>
      </c>
      <c r="BA11" s="323">
        <f t="shared" ref="BA11:BL11" si="14">SUM(BA12:BA25)</f>
        <v>0</v>
      </c>
      <c r="BB11" s="323">
        <f t="shared" si="14"/>
        <v>0</v>
      </c>
      <c r="BC11" s="323">
        <f t="shared" si="14"/>
        <v>0</v>
      </c>
      <c r="BD11" s="323">
        <f t="shared" si="14"/>
        <v>0</v>
      </c>
      <c r="BE11" s="323">
        <f t="shared" si="14"/>
        <v>0</v>
      </c>
      <c r="BF11" s="323">
        <f t="shared" si="14"/>
        <v>0</v>
      </c>
      <c r="BG11" s="323">
        <f t="shared" si="14"/>
        <v>0</v>
      </c>
      <c r="BH11" s="323">
        <f t="shared" si="14"/>
        <v>0</v>
      </c>
      <c r="BI11" s="323">
        <f t="shared" si="14"/>
        <v>0</v>
      </c>
      <c r="BJ11" s="323">
        <f t="shared" si="14"/>
        <v>0</v>
      </c>
      <c r="BK11" s="323">
        <f t="shared" si="14"/>
        <v>0</v>
      </c>
      <c r="BL11" s="323">
        <f t="shared" si="14"/>
        <v>0</v>
      </c>
    </row>
    <row r="12" spans="1:64" ht="15.75" x14ac:dyDescent="0.25">
      <c r="A12" s="100" t="s">
        <v>38</v>
      </c>
      <c r="B12" s="118" t="s">
        <v>226</v>
      </c>
      <c r="C12" s="7">
        <v>2</v>
      </c>
      <c r="D12" s="15"/>
      <c r="E12" s="433">
        <v>1</v>
      </c>
      <c r="F12" s="605">
        <f t="shared" ref="F12:F24" si="15">SUM(G12:H12)</f>
        <v>109</v>
      </c>
      <c r="G12" s="608"/>
      <c r="H12" s="613">
        <f>SUM(Q12+W12)</f>
        <v>109</v>
      </c>
      <c r="I12" s="99">
        <v>4</v>
      </c>
      <c r="J12" s="20">
        <v>10</v>
      </c>
      <c r="K12" s="19"/>
      <c r="L12" s="183">
        <f>SUM(V12+AB12)</f>
        <v>95</v>
      </c>
      <c r="M12" s="20"/>
      <c r="N12" s="20"/>
      <c r="O12" s="20"/>
      <c r="P12" s="94"/>
      <c r="Q12" s="159">
        <v>51</v>
      </c>
      <c r="R12" s="20"/>
      <c r="S12" s="20"/>
      <c r="T12" s="20"/>
      <c r="U12" s="20"/>
      <c r="V12" s="189">
        <v>51</v>
      </c>
      <c r="W12" s="171">
        <v>58</v>
      </c>
      <c r="X12" s="20"/>
      <c r="Y12" s="20">
        <v>4</v>
      </c>
      <c r="Z12" s="20">
        <v>10</v>
      </c>
      <c r="AA12" s="20"/>
      <c r="AB12" s="189">
        <v>44</v>
      </c>
      <c r="AC12" s="171"/>
      <c r="AD12" s="20"/>
      <c r="AE12" s="20"/>
      <c r="AF12" s="20"/>
      <c r="AG12" s="20"/>
      <c r="AH12" s="189"/>
      <c r="AI12" s="171"/>
      <c r="AJ12" s="20"/>
      <c r="AK12" s="20"/>
      <c r="AL12" s="20"/>
      <c r="AM12" s="20"/>
      <c r="AN12" s="189"/>
      <c r="AO12" s="171"/>
      <c r="AP12" s="20"/>
      <c r="AQ12" s="20"/>
      <c r="AR12" s="20"/>
      <c r="AS12" s="20"/>
      <c r="AT12" s="189"/>
      <c r="AU12" s="171"/>
      <c r="AV12" s="20"/>
      <c r="AW12" s="45"/>
      <c r="AX12" s="45"/>
      <c r="AY12" s="45"/>
      <c r="AZ12" s="204"/>
      <c r="BA12" s="159"/>
      <c r="BB12" s="20"/>
      <c r="BC12" s="20"/>
      <c r="BD12" s="20"/>
      <c r="BE12" s="20"/>
      <c r="BF12" s="189"/>
      <c r="BG12" s="171"/>
      <c r="BH12" s="20"/>
      <c r="BI12" s="20"/>
      <c r="BJ12" s="20"/>
      <c r="BK12" s="20"/>
      <c r="BL12" s="189"/>
    </row>
    <row r="13" spans="1:64" ht="15.75" x14ac:dyDescent="0.25">
      <c r="A13" s="101" t="s">
        <v>39</v>
      </c>
      <c r="B13" s="118" t="s">
        <v>49</v>
      </c>
      <c r="C13" s="107"/>
      <c r="D13" s="17">
        <v>2</v>
      </c>
      <c r="E13" s="602">
        <v>1</v>
      </c>
      <c r="F13" s="606">
        <f t="shared" si="15"/>
        <v>117</v>
      </c>
      <c r="G13" s="609"/>
      <c r="H13" s="614">
        <f t="shared" ref="H13:H20" si="16">SUM(Q13+W13)</f>
        <v>117</v>
      </c>
      <c r="I13" s="103"/>
      <c r="J13" s="14"/>
      <c r="K13" s="14"/>
      <c r="L13" s="183">
        <f t="shared" ref="L13:L20" si="17">SUM(V13+AB13)</f>
        <v>117</v>
      </c>
      <c r="M13" s="20"/>
      <c r="N13" s="20"/>
      <c r="O13" s="14"/>
      <c r="P13" s="95"/>
      <c r="Q13" s="160">
        <v>51</v>
      </c>
      <c r="R13" s="14"/>
      <c r="S13" s="14"/>
      <c r="T13" s="14"/>
      <c r="U13" s="14"/>
      <c r="V13" s="189">
        <v>51</v>
      </c>
      <c r="W13" s="171">
        <v>66</v>
      </c>
      <c r="X13" s="14"/>
      <c r="Y13" s="14"/>
      <c r="Z13" s="14"/>
      <c r="AA13" s="14"/>
      <c r="AB13" s="189">
        <v>66</v>
      </c>
      <c r="AC13" s="174"/>
      <c r="AD13" s="14"/>
      <c r="AE13" s="14"/>
      <c r="AF13" s="14"/>
      <c r="AG13" s="14"/>
      <c r="AH13" s="190"/>
      <c r="AI13" s="174"/>
      <c r="AJ13" s="14"/>
      <c r="AK13" s="14"/>
      <c r="AL13" s="14"/>
      <c r="AM13" s="14"/>
      <c r="AN13" s="190"/>
      <c r="AO13" s="174"/>
      <c r="AP13" s="14"/>
      <c r="AQ13" s="14"/>
      <c r="AR13" s="14"/>
      <c r="AS13" s="14"/>
      <c r="AT13" s="190"/>
      <c r="AU13" s="174"/>
      <c r="AV13" s="14"/>
      <c r="AW13" s="18"/>
      <c r="AX13" s="18"/>
      <c r="AY13" s="18"/>
      <c r="AZ13" s="205"/>
      <c r="BA13" s="160"/>
      <c r="BB13" s="14"/>
      <c r="BC13" s="14"/>
      <c r="BD13" s="14"/>
      <c r="BE13" s="14"/>
      <c r="BF13" s="189"/>
      <c r="BG13" s="171"/>
      <c r="BH13" s="14"/>
      <c r="BI13" s="14"/>
      <c r="BJ13" s="14"/>
      <c r="BK13" s="14"/>
      <c r="BL13" s="189"/>
    </row>
    <row r="14" spans="1:64" ht="15.75" x14ac:dyDescent="0.25">
      <c r="A14" s="100" t="s">
        <v>41</v>
      </c>
      <c r="B14" s="119" t="s">
        <v>9</v>
      </c>
      <c r="C14" s="106"/>
      <c r="D14" s="16">
        <v>1.2</v>
      </c>
      <c r="E14" s="434">
        <v>1</v>
      </c>
      <c r="F14" s="606">
        <f t="shared" si="15"/>
        <v>117</v>
      </c>
      <c r="G14" s="609"/>
      <c r="H14" s="614">
        <f t="shared" si="16"/>
        <v>117</v>
      </c>
      <c r="I14" s="103"/>
      <c r="J14" s="14"/>
      <c r="K14" s="14"/>
      <c r="L14" s="183">
        <f t="shared" si="17"/>
        <v>117</v>
      </c>
      <c r="M14" s="20"/>
      <c r="N14" s="20"/>
      <c r="O14" s="14"/>
      <c r="P14" s="95"/>
      <c r="Q14" s="160">
        <v>51</v>
      </c>
      <c r="R14" s="14"/>
      <c r="S14" s="14"/>
      <c r="T14" s="14"/>
      <c r="U14" s="14"/>
      <c r="V14" s="189">
        <v>51</v>
      </c>
      <c r="W14" s="171">
        <v>66</v>
      </c>
      <c r="X14" s="14"/>
      <c r="Y14" s="14"/>
      <c r="Z14" s="14"/>
      <c r="AA14" s="14"/>
      <c r="AB14" s="189">
        <v>66</v>
      </c>
      <c r="AC14" s="174"/>
      <c r="AD14" s="14"/>
      <c r="AE14" s="14"/>
      <c r="AF14" s="14"/>
      <c r="AG14" s="14"/>
      <c r="AH14" s="190"/>
      <c r="AI14" s="174"/>
      <c r="AJ14" s="14"/>
      <c r="AK14" s="14"/>
      <c r="AL14" s="14"/>
      <c r="AM14" s="14"/>
      <c r="AN14" s="190"/>
      <c r="AO14" s="174"/>
      <c r="AP14" s="14"/>
      <c r="AQ14" s="14"/>
      <c r="AR14" s="14"/>
      <c r="AS14" s="14"/>
      <c r="AT14" s="190"/>
      <c r="AU14" s="174"/>
      <c r="AV14" s="14"/>
      <c r="AW14" s="18"/>
      <c r="AX14" s="18"/>
      <c r="AY14" s="18"/>
      <c r="AZ14" s="205"/>
      <c r="BA14" s="160"/>
      <c r="BB14" s="14"/>
      <c r="BC14" s="14"/>
      <c r="BD14" s="14"/>
      <c r="BE14" s="14"/>
      <c r="BF14" s="189"/>
      <c r="BG14" s="171"/>
      <c r="BH14" s="14"/>
      <c r="BI14" s="14"/>
      <c r="BJ14" s="14"/>
      <c r="BK14" s="14"/>
      <c r="BL14" s="189"/>
    </row>
    <row r="15" spans="1:64" ht="15.75" x14ac:dyDescent="0.25">
      <c r="A15" s="14" t="s">
        <v>278</v>
      </c>
      <c r="B15" s="119" t="s">
        <v>10</v>
      </c>
      <c r="C15" s="73"/>
      <c r="D15" s="18">
        <v>2</v>
      </c>
      <c r="E15" s="95">
        <v>1</v>
      </c>
      <c r="F15" s="606">
        <f t="shared" si="15"/>
        <v>117</v>
      </c>
      <c r="G15" s="610"/>
      <c r="H15" s="614">
        <f t="shared" si="16"/>
        <v>117</v>
      </c>
      <c r="I15" s="104"/>
      <c r="J15" s="17"/>
      <c r="K15" s="17"/>
      <c r="L15" s="183">
        <f t="shared" si="17"/>
        <v>117</v>
      </c>
      <c r="M15" s="20"/>
      <c r="N15" s="20"/>
      <c r="O15" s="17"/>
      <c r="P15" s="95"/>
      <c r="Q15" s="161">
        <v>51</v>
      </c>
      <c r="R15" s="17"/>
      <c r="S15" s="17"/>
      <c r="T15" s="17"/>
      <c r="U15" s="17"/>
      <c r="V15" s="189">
        <v>51</v>
      </c>
      <c r="W15" s="171">
        <v>66</v>
      </c>
      <c r="X15" s="17"/>
      <c r="Y15" s="17"/>
      <c r="Z15" s="17"/>
      <c r="AA15" s="17"/>
      <c r="AB15" s="189">
        <v>66</v>
      </c>
      <c r="AC15" s="175"/>
      <c r="AD15" s="17"/>
      <c r="AE15" s="17"/>
      <c r="AF15" s="17"/>
      <c r="AG15" s="17"/>
      <c r="AH15" s="191"/>
      <c r="AI15" s="175"/>
      <c r="AJ15" s="17"/>
      <c r="AK15" s="17"/>
      <c r="AL15" s="17"/>
      <c r="AM15" s="17"/>
      <c r="AN15" s="191"/>
      <c r="AO15" s="175"/>
      <c r="AP15" s="17"/>
      <c r="AQ15" s="17"/>
      <c r="AR15" s="17"/>
      <c r="AS15" s="17"/>
      <c r="AT15" s="191"/>
      <c r="AU15" s="175"/>
      <c r="AV15" s="17"/>
      <c r="AW15" s="18"/>
      <c r="AX15" s="18"/>
      <c r="AY15" s="18"/>
      <c r="AZ15" s="205"/>
      <c r="BA15" s="161"/>
      <c r="BB15" s="17"/>
      <c r="BC15" s="17"/>
      <c r="BD15" s="17"/>
      <c r="BE15" s="17"/>
      <c r="BF15" s="189"/>
      <c r="BG15" s="171"/>
      <c r="BH15" s="17"/>
      <c r="BI15" s="17"/>
      <c r="BJ15" s="17"/>
      <c r="BK15" s="17"/>
      <c r="BL15" s="189"/>
    </row>
    <row r="16" spans="1:64" ht="15.75" x14ac:dyDescent="0.25">
      <c r="A16" s="14" t="s">
        <v>161</v>
      </c>
      <c r="B16" s="119" t="s">
        <v>22</v>
      </c>
      <c r="C16" s="104"/>
      <c r="D16" s="18">
        <v>1.2</v>
      </c>
      <c r="E16" s="95">
        <v>1</v>
      </c>
      <c r="F16" s="606">
        <f t="shared" si="15"/>
        <v>117</v>
      </c>
      <c r="G16" s="611"/>
      <c r="H16" s="614">
        <f t="shared" si="16"/>
        <v>117</v>
      </c>
      <c r="I16" s="103"/>
      <c r="J16" s="14"/>
      <c r="K16" s="17"/>
      <c r="L16" s="183">
        <f t="shared" si="17"/>
        <v>117</v>
      </c>
      <c r="M16" s="20"/>
      <c r="N16" s="20"/>
      <c r="O16" s="17"/>
      <c r="P16" s="95"/>
      <c r="Q16" s="160">
        <v>51</v>
      </c>
      <c r="R16" s="14"/>
      <c r="S16" s="14"/>
      <c r="T16" s="14"/>
      <c r="U16" s="14"/>
      <c r="V16" s="189">
        <v>51</v>
      </c>
      <c r="W16" s="171">
        <v>66</v>
      </c>
      <c r="X16" s="14"/>
      <c r="Y16" s="14"/>
      <c r="Z16" s="14"/>
      <c r="AA16" s="14"/>
      <c r="AB16" s="189">
        <v>66</v>
      </c>
      <c r="AC16" s="174"/>
      <c r="AD16" s="14"/>
      <c r="AE16" s="14"/>
      <c r="AF16" s="14"/>
      <c r="AG16" s="14"/>
      <c r="AH16" s="190"/>
      <c r="AI16" s="174"/>
      <c r="AJ16" s="14"/>
      <c r="AK16" s="14"/>
      <c r="AL16" s="14"/>
      <c r="AM16" s="14"/>
      <c r="AN16" s="190"/>
      <c r="AO16" s="174"/>
      <c r="AP16" s="14"/>
      <c r="AQ16" s="14"/>
      <c r="AR16" s="14"/>
      <c r="AS16" s="14"/>
      <c r="AT16" s="190"/>
      <c r="AU16" s="174"/>
      <c r="AV16" s="14"/>
      <c r="AW16" s="18"/>
      <c r="AX16" s="18"/>
      <c r="AY16" s="18"/>
      <c r="AZ16" s="205"/>
      <c r="BA16" s="160"/>
      <c r="BB16" s="14"/>
      <c r="BC16" s="14"/>
      <c r="BD16" s="14"/>
      <c r="BE16" s="14"/>
      <c r="BF16" s="189"/>
      <c r="BG16" s="171"/>
      <c r="BH16" s="14"/>
      <c r="BI16" s="14"/>
      <c r="BJ16" s="14"/>
      <c r="BK16" s="14"/>
      <c r="BL16" s="189"/>
    </row>
    <row r="17" spans="1:64" ht="15.75" x14ac:dyDescent="0.25">
      <c r="A17" s="100" t="s">
        <v>42</v>
      </c>
      <c r="B17" s="119" t="s">
        <v>31</v>
      </c>
      <c r="C17" s="105"/>
      <c r="D17" s="16">
        <v>2</v>
      </c>
      <c r="E17" s="434"/>
      <c r="F17" s="606">
        <f t="shared" si="15"/>
        <v>78</v>
      </c>
      <c r="G17" s="609"/>
      <c r="H17" s="614">
        <f t="shared" si="16"/>
        <v>78</v>
      </c>
      <c r="I17" s="103"/>
      <c r="J17" s="14"/>
      <c r="K17" s="14"/>
      <c r="L17" s="183">
        <f t="shared" si="17"/>
        <v>78</v>
      </c>
      <c r="M17" s="20"/>
      <c r="N17" s="20"/>
      <c r="O17" s="14"/>
      <c r="P17" s="95"/>
      <c r="Q17" s="160">
        <v>34</v>
      </c>
      <c r="R17" s="14"/>
      <c r="S17" s="14"/>
      <c r="T17" s="14"/>
      <c r="U17" s="14"/>
      <c r="V17" s="189">
        <v>34</v>
      </c>
      <c r="W17" s="171">
        <v>44</v>
      </c>
      <c r="X17" s="14"/>
      <c r="Y17" s="14"/>
      <c r="Z17" s="14"/>
      <c r="AA17" s="14"/>
      <c r="AB17" s="189">
        <v>44</v>
      </c>
      <c r="AC17" s="174"/>
      <c r="AD17" s="14"/>
      <c r="AE17" s="14"/>
      <c r="AF17" s="14"/>
      <c r="AG17" s="14"/>
      <c r="AH17" s="190"/>
      <c r="AI17" s="174"/>
      <c r="AJ17" s="14"/>
      <c r="AK17" s="14"/>
      <c r="AL17" s="14"/>
      <c r="AM17" s="14"/>
      <c r="AN17" s="190"/>
      <c r="AO17" s="174"/>
      <c r="AP17" s="14"/>
      <c r="AQ17" s="14"/>
      <c r="AR17" s="14"/>
      <c r="AS17" s="14"/>
      <c r="AT17" s="190"/>
      <c r="AU17" s="174"/>
      <c r="AV17" s="14"/>
      <c r="AW17" s="18"/>
      <c r="AX17" s="18"/>
      <c r="AY17" s="18"/>
      <c r="AZ17" s="205"/>
      <c r="BA17" s="160"/>
      <c r="BB17" s="14"/>
      <c r="BC17" s="14"/>
      <c r="BD17" s="14"/>
      <c r="BE17" s="14"/>
      <c r="BF17" s="189"/>
      <c r="BG17" s="171"/>
      <c r="BH17" s="14"/>
      <c r="BI17" s="14"/>
      <c r="BJ17" s="14"/>
      <c r="BK17" s="14"/>
      <c r="BL17" s="189"/>
    </row>
    <row r="18" spans="1:64" ht="15.75" x14ac:dyDescent="0.25">
      <c r="A18" s="100" t="s">
        <v>40</v>
      </c>
      <c r="B18" s="119" t="s">
        <v>286</v>
      </c>
      <c r="C18" s="108"/>
      <c r="D18" s="16">
        <v>2</v>
      </c>
      <c r="E18" s="434"/>
      <c r="F18" s="606">
        <f t="shared" si="15"/>
        <v>78</v>
      </c>
      <c r="G18" s="612"/>
      <c r="H18" s="614">
        <f t="shared" si="16"/>
        <v>78</v>
      </c>
      <c r="I18" s="99"/>
      <c r="J18" s="20"/>
      <c r="K18" s="14"/>
      <c r="L18" s="183">
        <f t="shared" si="17"/>
        <v>78</v>
      </c>
      <c r="M18" s="20"/>
      <c r="N18" s="20"/>
      <c r="O18" s="24"/>
      <c r="P18" s="95"/>
      <c r="Q18" s="159">
        <v>34</v>
      </c>
      <c r="R18" s="20"/>
      <c r="S18" s="20"/>
      <c r="T18" s="20"/>
      <c r="U18" s="20"/>
      <c r="V18" s="189">
        <v>34</v>
      </c>
      <c r="W18" s="171">
        <v>44</v>
      </c>
      <c r="X18" s="20"/>
      <c r="Y18" s="20"/>
      <c r="Z18" s="20"/>
      <c r="AA18" s="20"/>
      <c r="AB18" s="189">
        <v>44</v>
      </c>
      <c r="AC18" s="171"/>
      <c r="AD18" s="20"/>
      <c r="AE18" s="20"/>
      <c r="AF18" s="20"/>
      <c r="AG18" s="20"/>
      <c r="AH18" s="189"/>
      <c r="AI18" s="171"/>
      <c r="AJ18" s="20"/>
      <c r="AK18" s="20"/>
      <c r="AL18" s="20"/>
      <c r="AM18" s="20"/>
      <c r="AN18" s="189"/>
      <c r="AO18" s="171"/>
      <c r="AP18" s="20"/>
      <c r="AQ18" s="20"/>
      <c r="AR18" s="20"/>
      <c r="AS18" s="20"/>
      <c r="AT18" s="189"/>
      <c r="AU18" s="171"/>
      <c r="AV18" s="20"/>
      <c r="AW18" s="18"/>
      <c r="AX18" s="18"/>
      <c r="AY18" s="18"/>
      <c r="AZ18" s="205"/>
      <c r="BA18" s="159"/>
      <c r="BB18" s="20"/>
      <c r="BC18" s="20"/>
      <c r="BD18" s="20"/>
      <c r="BE18" s="20"/>
      <c r="BF18" s="189"/>
      <c r="BG18" s="171"/>
      <c r="BH18" s="20"/>
      <c r="BI18" s="20"/>
      <c r="BJ18" s="20"/>
      <c r="BK18" s="20"/>
      <c r="BL18" s="189"/>
    </row>
    <row r="19" spans="1:64" ht="15.75" x14ac:dyDescent="0.25">
      <c r="A19" s="100" t="s">
        <v>222</v>
      </c>
      <c r="B19" s="119" t="s">
        <v>228</v>
      </c>
      <c r="C19" s="106"/>
      <c r="D19" s="18">
        <v>2</v>
      </c>
      <c r="E19" s="95">
        <v>1</v>
      </c>
      <c r="F19" s="606">
        <f t="shared" si="15"/>
        <v>44</v>
      </c>
      <c r="G19" s="610"/>
      <c r="H19" s="614">
        <f t="shared" si="16"/>
        <v>44</v>
      </c>
      <c r="I19" s="104"/>
      <c r="J19" s="17"/>
      <c r="K19" s="17"/>
      <c r="L19" s="183">
        <f t="shared" si="17"/>
        <v>44</v>
      </c>
      <c r="M19" s="20"/>
      <c r="N19" s="20"/>
      <c r="O19" s="17"/>
      <c r="P19" s="262"/>
      <c r="Q19" s="161"/>
      <c r="R19" s="17"/>
      <c r="S19" s="17"/>
      <c r="T19" s="17"/>
      <c r="U19" s="17"/>
      <c r="V19" s="189"/>
      <c r="W19" s="171">
        <v>44</v>
      </c>
      <c r="X19" s="17"/>
      <c r="Y19" s="17"/>
      <c r="Z19" s="17"/>
      <c r="AA19" s="17"/>
      <c r="AB19" s="189">
        <v>44</v>
      </c>
      <c r="AC19" s="175"/>
      <c r="AD19" s="17"/>
      <c r="AE19" s="17"/>
      <c r="AF19" s="17"/>
      <c r="AG19" s="17"/>
      <c r="AH19" s="191"/>
      <c r="AI19" s="175"/>
      <c r="AJ19" s="17"/>
      <c r="AK19" s="17"/>
      <c r="AL19" s="17"/>
      <c r="AM19" s="17"/>
      <c r="AN19" s="191"/>
      <c r="AO19" s="175"/>
      <c r="AP19" s="17"/>
      <c r="AQ19" s="17"/>
      <c r="AR19" s="17"/>
      <c r="AS19" s="17"/>
      <c r="AT19" s="191"/>
      <c r="AU19" s="175"/>
      <c r="AV19" s="17"/>
      <c r="AW19" s="18"/>
      <c r="AX19" s="18"/>
      <c r="AY19" s="18"/>
      <c r="AZ19" s="205"/>
      <c r="BA19" s="161"/>
      <c r="BB19" s="17"/>
      <c r="BC19" s="17"/>
      <c r="BD19" s="17"/>
      <c r="BE19" s="17"/>
      <c r="BF19" s="189"/>
      <c r="BG19" s="171"/>
      <c r="BH19" s="17"/>
      <c r="BI19" s="17"/>
      <c r="BJ19" s="17"/>
      <c r="BK19" s="17"/>
      <c r="BL19" s="189"/>
    </row>
    <row r="20" spans="1:64" ht="16.5" thickBot="1" x14ac:dyDescent="0.3">
      <c r="A20" s="379" t="s">
        <v>279</v>
      </c>
      <c r="B20" s="403" t="s">
        <v>287</v>
      </c>
      <c r="C20" s="380"/>
      <c r="D20" s="381">
        <v>2</v>
      </c>
      <c r="E20" s="603">
        <v>1</v>
      </c>
      <c r="F20" s="607">
        <f t="shared" si="15"/>
        <v>117</v>
      </c>
      <c r="G20" s="604"/>
      <c r="H20" s="615">
        <f t="shared" si="16"/>
        <v>117</v>
      </c>
      <c r="I20" s="383"/>
      <c r="J20" s="384"/>
      <c r="K20" s="385"/>
      <c r="L20" s="183">
        <f t="shared" si="17"/>
        <v>117</v>
      </c>
      <c r="M20" s="386"/>
      <c r="N20" s="386"/>
      <c r="O20" s="384"/>
      <c r="P20" s="387"/>
      <c r="Q20" s="388">
        <v>51</v>
      </c>
      <c r="R20" s="383"/>
      <c r="S20" s="384"/>
      <c r="T20" s="384"/>
      <c r="U20" s="384"/>
      <c r="V20" s="391">
        <v>51</v>
      </c>
      <c r="W20" s="390">
        <v>66</v>
      </c>
      <c r="X20" s="383"/>
      <c r="Y20" s="384"/>
      <c r="Z20" s="384"/>
      <c r="AA20" s="384"/>
      <c r="AB20" s="391">
        <v>66</v>
      </c>
      <c r="AC20" s="388"/>
      <c r="AD20" s="384"/>
      <c r="AE20" s="384"/>
      <c r="AF20" s="384"/>
      <c r="AG20" s="384"/>
      <c r="AH20" s="389"/>
      <c r="AI20" s="392"/>
      <c r="AJ20" s="384"/>
      <c r="AK20" s="384"/>
      <c r="AL20" s="384"/>
      <c r="AM20" s="384"/>
      <c r="AN20" s="389"/>
      <c r="AO20" s="392"/>
      <c r="AP20" s="384"/>
      <c r="AQ20" s="384"/>
      <c r="AR20" s="384"/>
      <c r="AS20" s="384"/>
      <c r="AT20" s="389"/>
      <c r="AU20" s="392"/>
      <c r="AV20" s="384"/>
      <c r="AW20" s="393"/>
      <c r="AX20" s="393"/>
      <c r="AY20" s="393"/>
      <c r="AZ20" s="459"/>
      <c r="BA20" s="388"/>
      <c r="BB20" s="383"/>
      <c r="BC20" s="384"/>
      <c r="BD20" s="384"/>
      <c r="BE20" s="384"/>
      <c r="BF20" s="391"/>
      <c r="BG20" s="390"/>
      <c r="BH20" s="383"/>
      <c r="BI20" s="384"/>
      <c r="BJ20" s="384"/>
      <c r="BK20" s="384"/>
      <c r="BL20" s="391"/>
    </row>
    <row r="21" spans="1:64" ht="16.5" thickBot="1" x14ac:dyDescent="0.3">
      <c r="A21" s="639" t="s">
        <v>281</v>
      </c>
      <c r="B21" s="640" t="s">
        <v>280</v>
      </c>
      <c r="C21" s="641"/>
      <c r="D21" s="642">
        <v>2</v>
      </c>
      <c r="E21" s="643"/>
      <c r="F21" s="651">
        <f t="shared" si="15"/>
        <v>582</v>
      </c>
      <c r="G21" s="644"/>
      <c r="H21" s="645">
        <f>SUM(H22:H25)</f>
        <v>582</v>
      </c>
      <c r="I21" s="646">
        <f t="shared" ref="I21:BL21" si="18">SUM(I22:I25)</f>
        <v>20</v>
      </c>
      <c r="J21" s="646">
        <f t="shared" si="18"/>
        <v>38</v>
      </c>
      <c r="K21" s="646">
        <f t="shared" si="18"/>
        <v>0</v>
      </c>
      <c r="L21" s="646">
        <f>SUM(L22:L25)</f>
        <v>524</v>
      </c>
      <c r="M21" s="646">
        <f t="shared" si="18"/>
        <v>0</v>
      </c>
      <c r="N21" s="646">
        <f t="shared" si="18"/>
        <v>0</v>
      </c>
      <c r="O21" s="646">
        <f t="shared" si="18"/>
        <v>0</v>
      </c>
      <c r="P21" s="646">
        <f t="shared" si="18"/>
        <v>0</v>
      </c>
      <c r="Q21" s="646">
        <f t="shared" si="18"/>
        <v>238</v>
      </c>
      <c r="R21" s="646">
        <f t="shared" si="18"/>
        <v>0</v>
      </c>
      <c r="S21" s="646">
        <f t="shared" si="18"/>
        <v>0</v>
      </c>
      <c r="T21" s="646">
        <f t="shared" si="18"/>
        <v>0</v>
      </c>
      <c r="U21" s="646">
        <f t="shared" si="18"/>
        <v>0</v>
      </c>
      <c r="V21" s="646">
        <f t="shared" si="18"/>
        <v>238</v>
      </c>
      <c r="W21" s="646">
        <f t="shared" si="18"/>
        <v>344</v>
      </c>
      <c r="X21" s="646">
        <f t="shared" si="18"/>
        <v>0</v>
      </c>
      <c r="Y21" s="646">
        <f t="shared" si="18"/>
        <v>20</v>
      </c>
      <c r="Z21" s="646">
        <f t="shared" si="18"/>
        <v>38</v>
      </c>
      <c r="AA21" s="646">
        <f t="shared" si="18"/>
        <v>0</v>
      </c>
      <c r="AB21" s="646">
        <f t="shared" si="18"/>
        <v>286</v>
      </c>
      <c r="AC21" s="646">
        <f t="shared" si="18"/>
        <v>0</v>
      </c>
      <c r="AD21" s="646">
        <f t="shared" si="18"/>
        <v>0</v>
      </c>
      <c r="AE21" s="646">
        <f t="shared" si="18"/>
        <v>0</v>
      </c>
      <c r="AF21" s="646">
        <f t="shared" si="18"/>
        <v>0</v>
      </c>
      <c r="AG21" s="646">
        <f t="shared" si="18"/>
        <v>0</v>
      </c>
      <c r="AH21" s="646">
        <f t="shared" si="18"/>
        <v>0</v>
      </c>
      <c r="AI21" s="646">
        <f t="shared" si="18"/>
        <v>0</v>
      </c>
      <c r="AJ21" s="646">
        <f t="shared" si="18"/>
        <v>0</v>
      </c>
      <c r="AK21" s="646">
        <f t="shared" si="18"/>
        <v>0</v>
      </c>
      <c r="AL21" s="646">
        <f t="shared" si="18"/>
        <v>0</v>
      </c>
      <c r="AM21" s="646">
        <f t="shared" si="18"/>
        <v>0</v>
      </c>
      <c r="AN21" s="646">
        <f t="shared" si="18"/>
        <v>0</v>
      </c>
      <c r="AO21" s="646">
        <f t="shared" si="18"/>
        <v>0</v>
      </c>
      <c r="AP21" s="646">
        <f t="shared" si="18"/>
        <v>0</v>
      </c>
      <c r="AQ21" s="646">
        <f t="shared" si="18"/>
        <v>0</v>
      </c>
      <c r="AR21" s="646">
        <f t="shared" si="18"/>
        <v>0</v>
      </c>
      <c r="AS21" s="646">
        <f t="shared" si="18"/>
        <v>0</v>
      </c>
      <c r="AT21" s="646">
        <f t="shared" si="18"/>
        <v>0</v>
      </c>
      <c r="AU21" s="646">
        <f t="shared" si="18"/>
        <v>0</v>
      </c>
      <c r="AV21" s="646">
        <f t="shared" si="18"/>
        <v>0</v>
      </c>
      <c r="AW21" s="646">
        <f t="shared" si="18"/>
        <v>0</v>
      </c>
      <c r="AX21" s="646">
        <f t="shared" si="18"/>
        <v>0</v>
      </c>
      <c r="AY21" s="646">
        <f t="shared" si="18"/>
        <v>0</v>
      </c>
      <c r="AZ21" s="646">
        <f t="shared" si="18"/>
        <v>0</v>
      </c>
      <c r="BA21" s="646">
        <f t="shared" si="18"/>
        <v>0</v>
      </c>
      <c r="BB21" s="646">
        <f t="shared" si="18"/>
        <v>0</v>
      </c>
      <c r="BC21" s="646">
        <f t="shared" si="18"/>
        <v>0</v>
      </c>
      <c r="BD21" s="646">
        <f t="shared" si="18"/>
        <v>0</v>
      </c>
      <c r="BE21" s="646">
        <f t="shared" si="18"/>
        <v>0</v>
      </c>
      <c r="BF21" s="646">
        <f t="shared" si="18"/>
        <v>0</v>
      </c>
      <c r="BG21" s="646">
        <f t="shared" si="18"/>
        <v>0</v>
      </c>
      <c r="BH21" s="646">
        <f t="shared" si="18"/>
        <v>0</v>
      </c>
      <c r="BI21" s="646">
        <f t="shared" si="18"/>
        <v>0</v>
      </c>
      <c r="BJ21" s="646">
        <f t="shared" si="18"/>
        <v>0</v>
      </c>
      <c r="BK21" s="646">
        <f t="shared" si="18"/>
        <v>0</v>
      </c>
      <c r="BL21" s="646">
        <f t="shared" si="18"/>
        <v>0</v>
      </c>
    </row>
    <row r="22" spans="1:64" ht="15.75" x14ac:dyDescent="0.25">
      <c r="A22" s="100" t="s">
        <v>282</v>
      </c>
      <c r="B22" s="120" t="s">
        <v>227</v>
      </c>
      <c r="C22" s="460">
        <v>2</v>
      </c>
      <c r="D22" s="461">
        <v>1</v>
      </c>
      <c r="E22" s="647"/>
      <c r="F22" s="605">
        <f t="shared" si="15"/>
        <v>252</v>
      </c>
      <c r="G22" s="648"/>
      <c r="H22" s="613">
        <f>SUM(Q22+W22)</f>
        <v>252</v>
      </c>
      <c r="I22" s="462">
        <v>4</v>
      </c>
      <c r="J22" s="463">
        <v>14</v>
      </c>
      <c r="K22" s="464"/>
      <c r="L22" s="183">
        <f>SUM(V22+AB22)</f>
        <v>234</v>
      </c>
      <c r="M22" s="99"/>
      <c r="N22" s="99"/>
      <c r="O22" s="463"/>
      <c r="P22" s="132"/>
      <c r="Q22" s="159">
        <v>102</v>
      </c>
      <c r="R22" s="20"/>
      <c r="S22" s="20"/>
      <c r="T22" s="20"/>
      <c r="U22" s="20"/>
      <c r="V22" s="189">
        <v>102</v>
      </c>
      <c r="W22" s="171">
        <v>150</v>
      </c>
      <c r="X22" s="20"/>
      <c r="Y22" s="20">
        <v>4</v>
      </c>
      <c r="Z22" s="20">
        <v>14</v>
      </c>
      <c r="AA22" s="20"/>
      <c r="AB22" s="189">
        <v>132</v>
      </c>
      <c r="AC22" s="171"/>
      <c r="AD22" s="20"/>
      <c r="AE22" s="20"/>
      <c r="AF22" s="20"/>
      <c r="AG22" s="20"/>
      <c r="AH22" s="189"/>
      <c r="AI22" s="171"/>
      <c r="AJ22" s="20"/>
      <c r="AK22" s="20"/>
      <c r="AL22" s="20"/>
      <c r="AM22" s="20"/>
      <c r="AN22" s="189"/>
      <c r="AO22" s="171"/>
      <c r="AP22" s="20"/>
      <c r="AQ22" s="20"/>
      <c r="AR22" s="20"/>
      <c r="AS22" s="20"/>
      <c r="AT22" s="189"/>
      <c r="AU22" s="171"/>
      <c r="AV22" s="20"/>
      <c r="AW22" s="45"/>
      <c r="AX22" s="45"/>
      <c r="AY22" s="45"/>
      <c r="AZ22" s="204"/>
      <c r="BA22" s="159"/>
      <c r="BB22" s="20"/>
      <c r="BC22" s="20"/>
      <c r="BD22" s="20"/>
      <c r="BE22" s="20"/>
      <c r="BF22" s="189"/>
      <c r="BG22" s="171"/>
      <c r="BH22" s="20"/>
      <c r="BI22" s="20"/>
      <c r="BJ22" s="20"/>
      <c r="BK22" s="20"/>
      <c r="BL22" s="189"/>
    </row>
    <row r="23" spans="1:64" ht="31.5" x14ac:dyDescent="0.25">
      <c r="A23" s="379" t="s">
        <v>283</v>
      </c>
      <c r="B23" s="402" t="s">
        <v>285</v>
      </c>
      <c r="C23" s="380">
        <v>2</v>
      </c>
      <c r="D23" s="381">
        <v>1</v>
      </c>
      <c r="E23" s="603"/>
      <c r="F23" s="606">
        <f t="shared" si="15"/>
        <v>174</v>
      </c>
      <c r="G23" s="649"/>
      <c r="H23" s="614">
        <f>SUM(Q23+W23)</f>
        <v>174</v>
      </c>
      <c r="I23" s="383">
        <v>8</v>
      </c>
      <c r="J23" s="384">
        <v>10</v>
      </c>
      <c r="K23" s="385"/>
      <c r="L23" s="183">
        <f>SUM(V23+AB23)</f>
        <v>156</v>
      </c>
      <c r="M23" s="386"/>
      <c r="N23" s="386"/>
      <c r="O23" s="384"/>
      <c r="P23" s="387"/>
      <c r="Q23" s="388">
        <v>68</v>
      </c>
      <c r="R23" s="383"/>
      <c r="S23" s="384"/>
      <c r="T23" s="384"/>
      <c r="U23" s="384"/>
      <c r="V23" s="389">
        <v>68</v>
      </c>
      <c r="W23" s="390">
        <v>106</v>
      </c>
      <c r="X23" s="383"/>
      <c r="Y23" s="384">
        <v>8</v>
      </c>
      <c r="Z23" s="384">
        <v>10</v>
      </c>
      <c r="AA23" s="384"/>
      <c r="AB23" s="391">
        <v>88</v>
      </c>
      <c r="AC23" s="392"/>
      <c r="AD23" s="384"/>
      <c r="AE23" s="384"/>
      <c r="AF23" s="384"/>
      <c r="AG23" s="384"/>
      <c r="AH23" s="389"/>
      <c r="AI23" s="392"/>
      <c r="AJ23" s="384"/>
      <c r="AK23" s="384"/>
      <c r="AL23" s="384"/>
      <c r="AM23" s="384"/>
      <c r="AN23" s="389"/>
      <c r="AO23" s="392"/>
      <c r="AP23" s="384"/>
      <c r="AQ23" s="384"/>
      <c r="AR23" s="384"/>
      <c r="AS23" s="384"/>
      <c r="AT23" s="389"/>
      <c r="AU23" s="392"/>
      <c r="AV23" s="384"/>
      <c r="AW23" s="393"/>
      <c r="AX23" s="393"/>
      <c r="AY23" s="393"/>
      <c r="AZ23" s="394"/>
      <c r="BA23" s="160"/>
      <c r="BB23" s="103"/>
      <c r="BC23" s="14"/>
      <c r="BD23" s="14"/>
      <c r="BE23" s="14"/>
      <c r="BF23" s="190"/>
      <c r="BG23" s="171"/>
      <c r="BH23" s="103"/>
      <c r="BI23" s="14"/>
      <c r="BJ23" s="14"/>
      <c r="BK23" s="14"/>
      <c r="BL23" s="189"/>
    </row>
    <row r="24" spans="1:64" ht="15.75" x14ac:dyDescent="0.25">
      <c r="A24" s="14" t="s">
        <v>284</v>
      </c>
      <c r="B24" s="403" t="s">
        <v>221</v>
      </c>
      <c r="C24" s="16">
        <v>2</v>
      </c>
      <c r="D24" s="16"/>
      <c r="E24" s="434"/>
      <c r="F24" s="606">
        <f t="shared" si="15"/>
        <v>156</v>
      </c>
      <c r="G24" s="650"/>
      <c r="H24" s="614">
        <f t="shared" ref="H24" si="19">SUM(Q24+W24)</f>
        <v>156</v>
      </c>
      <c r="I24" s="103">
        <v>8</v>
      </c>
      <c r="J24" s="14">
        <v>14</v>
      </c>
      <c r="K24" s="14"/>
      <c r="L24" s="183">
        <f>SUM(V24+AB24)</f>
        <v>134</v>
      </c>
      <c r="M24" s="14"/>
      <c r="N24" s="14"/>
      <c r="O24" s="14"/>
      <c r="P24" s="398"/>
      <c r="Q24" s="399">
        <v>68</v>
      </c>
      <c r="R24" s="14"/>
      <c r="S24" s="14"/>
      <c r="T24" s="14"/>
      <c r="U24" s="14"/>
      <c r="V24" s="397">
        <v>68</v>
      </c>
      <c r="W24" s="399">
        <v>88</v>
      </c>
      <c r="X24" s="14"/>
      <c r="Y24" s="14">
        <v>8</v>
      </c>
      <c r="Z24" s="14">
        <v>14</v>
      </c>
      <c r="AA24" s="14"/>
      <c r="AB24" s="397">
        <v>66</v>
      </c>
      <c r="AC24" s="399"/>
      <c r="AD24" s="14"/>
      <c r="AE24" s="14"/>
      <c r="AF24" s="14"/>
      <c r="AG24" s="14"/>
      <c r="AH24" s="397"/>
      <c r="AI24" s="399"/>
      <c r="AJ24" s="14"/>
      <c r="AK24" s="14"/>
      <c r="AL24" s="14"/>
      <c r="AM24" s="14"/>
      <c r="AN24" s="397"/>
      <c r="AO24" s="399"/>
      <c r="AP24" s="14"/>
      <c r="AQ24" s="14"/>
      <c r="AR24" s="14"/>
      <c r="AS24" s="14"/>
      <c r="AT24" s="397"/>
      <c r="AU24" s="399"/>
      <c r="AV24" s="14"/>
      <c r="AW24" s="18"/>
      <c r="AX24" s="18"/>
      <c r="AY24" s="18"/>
      <c r="AZ24" s="400"/>
      <c r="BA24" s="160"/>
      <c r="BB24" s="103"/>
      <c r="BC24" s="14"/>
      <c r="BD24" s="14"/>
      <c r="BE24" s="14"/>
      <c r="BF24" s="190"/>
      <c r="BG24" s="171"/>
      <c r="BH24" s="103"/>
      <c r="BI24" s="14"/>
      <c r="BJ24" s="14"/>
      <c r="BK24" s="14"/>
      <c r="BL24" s="189"/>
    </row>
    <row r="25" spans="1:64" s="363" customFormat="1" ht="16.5" thickBot="1" x14ac:dyDescent="0.3">
      <c r="A25" s="14"/>
      <c r="B25" s="396"/>
      <c r="C25" s="16"/>
      <c r="D25" s="16"/>
      <c r="E25" s="434"/>
      <c r="F25" s="607"/>
      <c r="G25" s="650"/>
      <c r="H25" s="615"/>
      <c r="I25" s="383"/>
      <c r="J25" s="384"/>
      <c r="K25" s="384"/>
      <c r="L25" s="528"/>
      <c r="M25" s="384"/>
      <c r="N25" s="384"/>
      <c r="O25" s="384"/>
      <c r="P25" s="529"/>
      <c r="Q25" s="530"/>
      <c r="R25" s="384"/>
      <c r="S25" s="384"/>
      <c r="T25" s="384"/>
      <c r="U25" s="384"/>
      <c r="V25" s="531"/>
      <c r="W25" s="530"/>
      <c r="X25" s="384"/>
      <c r="Y25" s="384"/>
      <c r="Z25" s="384"/>
      <c r="AA25" s="384"/>
      <c r="AB25" s="531"/>
      <c r="AC25" s="530"/>
      <c r="AD25" s="384"/>
      <c r="AE25" s="384"/>
      <c r="AF25" s="384"/>
      <c r="AG25" s="384"/>
      <c r="AH25" s="531"/>
      <c r="AI25" s="530"/>
      <c r="AJ25" s="384"/>
      <c r="AK25" s="384"/>
      <c r="AL25" s="384"/>
      <c r="AM25" s="384"/>
      <c r="AN25" s="531"/>
      <c r="AO25" s="530"/>
      <c r="AP25" s="384"/>
      <c r="AQ25" s="384"/>
      <c r="AR25" s="384"/>
      <c r="AS25" s="384"/>
      <c r="AT25" s="531"/>
      <c r="AU25" s="530"/>
      <c r="AV25" s="384"/>
      <c r="AW25" s="393"/>
      <c r="AX25" s="393"/>
      <c r="AY25" s="393"/>
      <c r="AZ25" s="532"/>
      <c r="BA25" s="388"/>
      <c r="BB25" s="383"/>
      <c r="BC25" s="384"/>
      <c r="BD25" s="384"/>
      <c r="BE25" s="384"/>
      <c r="BF25" s="389"/>
      <c r="BG25" s="390"/>
      <c r="BH25" s="383"/>
      <c r="BI25" s="384"/>
      <c r="BJ25" s="384"/>
      <c r="BK25" s="384"/>
      <c r="BL25" s="391"/>
    </row>
    <row r="26" spans="1:64" ht="16.5" thickBot="1" x14ac:dyDescent="0.25">
      <c r="A26" s="522" t="s">
        <v>229</v>
      </c>
      <c r="B26" s="523" t="s">
        <v>223</v>
      </c>
      <c r="C26" s="524"/>
      <c r="D26" s="525">
        <v>5</v>
      </c>
      <c r="E26" s="526">
        <v>3</v>
      </c>
      <c r="F26" s="600">
        <f>SUM(F27:F32)</f>
        <v>575</v>
      </c>
      <c r="G26" s="527">
        <f>SUM(G27:G38)</f>
        <v>0</v>
      </c>
      <c r="H26" s="638">
        <f>SUM(H27:H32)</f>
        <v>575</v>
      </c>
      <c r="I26" s="533">
        <f t="shared" ref="I26:BK26" si="20">SUM(I27:I38)</f>
        <v>32</v>
      </c>
      <c r="J26" s="533">
        <f t="shared" si="20"/>
        <v>0</v>
      </c>
      <c r="K26" s="533">
        <f t="shared" si="20"/>
        <v>0</v>
      </c>
      <c r="L26" s="533">
        <f>SUM(L27:L32)</f>
        <v>575</v>
      </c>
      <c r="M26" s="533">
        <f t="shared" si="20"/>
        <v>0</v>
      </c>
      <c r="N26" s="533">
        <f t="shared" si="20"/>
        <v>0</v>
      </c>
      <c r="O26" s="533">
        <f t="shared" si="20"/>
        <v>0</v>
      </c>
      <c r="P26" s="533">
        <f t="shared" si="20"/>
        <v>0</v>
      </c>
      <c r="Q26" s="533">
        <f t="shared" si="20"/>
        <v>0</v>
      </c>
      <c r="R26" s="533">
        <f t="shared" si="20"/>
        <v>0</v>
      </c>
      <c r="S26" s="533">
        <f t="shared" si="20"/>
        <v>0</v>
      </c>
      <c r="T26" s="533">
        <f t="shared" si="20"/>
        <v>0</v>
      </c>
      <c r="U26" s="533">
        <f t="shared" si="20"/>
        <v>0</v>
      </c>
      <c r="V26" s="533">
        <f t="shared" si="20"/>
        <v>0</v>
      </c>
      <c r="W26" s="533">
        <f t="shared" si="20"/>
        <v>0</v>
      </c>
      <c r="X26" s="533">
        <f t="shared" si="20"/>
        <v>0</v>
      </c>
      <c r="Y26" s="533">
        <f t="shared" si="20"/>
        <v>0</v>
      </c>
      <c r="Z26" s="533">
        <f t="shared" si="20"/>
        <v>0</v>
      </c>
      <c r="AA26" s="533">
        <f t="shared" si="20"/>
        <v>0</v>
      </c>
      <c r="AB26" s="533">
        <f t="shared" si="20"/>
        <v>0</v>
      </c>
      <c r="AC26" s="533">
        <f>SUM(AC27:AC32)</f>
        <v>160</v>
      </c>
      <c r="AD26" s="533">
        <f t="shared" si="20"/>
        <v>0</v>
      </c>
      <c r="AE26" s="533">
        <f>SUM(AE27:AE32)</f>
        <v>0</v>
      </c>
      <c r="AF26" s="533">
        <f t="shared" ref="AF26:AH26" si="21">SUM(AF27:AF32)</f>
        <v>0</v>
      </c>
      <c r="AG26" s="533">
        <f t="shared" si="21"/>
        <v>0</v>
      </c>
      <c r="AH26" s="533">
        <f t="shared" si="21"/>
        <v>160</v>
      </c>
      <c r="AI26" s="533">
        <f>SUM(AI27:AI32)</f>
        <v>115</v>
      </c>
      <c r="AJ26" s="533">
        <f>SUM(AJ27:AJ32)</f>
        <v>0</v>
      </c>
      <c r="AK26" s="533">
        <f t="shared" si="20"/>
        <v>0</v>
      </c>
      <c r="AL26" s="533">
        <f t="shared" si="20"/>
        <v>0</v>
      </c>
      <c r="AM26" s="533">
        <f t="shared" si="20"/>
        <v>0</v>
      </c>
      <c r="AN26" s="533">
        <f>SUM(AN27:AN32)</f>
        <v>115</v>
      </c>
      <c r="AO26" s="533">
        <f>SUM(AO27:AO32)</f>
        <v>52</v>
      </c>
      <c r="AP26" s="533">
        <f t="shared" si="20"/>
        <v>0</v>
      </c>
      <c r="AQ26" s="533">
        <f t="shared" si="20"/>
        <v>0</v>
      </c>
      <c r="AR26" s="533">
        <f t="shared" si="20"/>
        <v>0</v>
      </c>
      <c r="AS26" s="533">
        <f t="shared" si="20"/>
        <v>0</v>
      </c>
      <c r="AT26" s="533">
        <f t="shared" si="20"/>
        <v>52</v>
      </c>
      <c r="AU26" s="533">
        <f>SUM(AU27:AU32)</f>
        <v>120</v>
      </c>
      <c r="AV26" s="533">
        <f t="shared" si="20"/>
        <v>0</v>
      </c>
      <c r="AW26" s="533">
        <f t="shared" si="20"/>
        <v>0</v>
      </c>
      <c r="AX26" s="533">
        <f t="shared" si="20"/>
        <v>0</v>
      </c>
      <c r="AY26" s="533">
        <f t="shared" si="20"/>
        <v>0</v>
      </c>
      <c r="AZ26" s="533">
        <f t="shared" si="20"/>
        <v>120</v>
      </c>
      <c r="BA26" s="533">
        <f>SUM(BA27:BA32)</f>
        <v>100</v>
      </c>
      <c r="BB26" s="533">
        <f t="shared" si="20"/>
        <v>0</v>
      </c>
      <c r="BC26" s="533">
        <f t="shared" si="20"/>
        <v>0</v>
      </c>
      <c r="BD26" s="533">
        <f t="shared" si="20"/>
        <v>0</v>
      </c>
      <c r="BE26" s="533">
        <f t="shared" si="20"/>
        <v>0</v>
      </c>
      <c r="BF26" s="533">
        <f t="shared" si="20"/>
        <v>100</v>
      </c>
      <c r="BG26" s="533">
        <f>SUM(BG27:BG32)</f>
        <v>28</v>
      </c>
      <c r="BH26" s="533">
        <v>0</v>
      </c>
      <c r="BI26" s="533">
        <f t="shared" si="20"/>
        <v>0</v>
      </c>
      <c r="BJ26" s="533">
        <f t="shared" si="20"/>
        <v>0</v>
      </c>
      <c r="BK26" s="533">
        <f t="shared" si="20"/>
        <v>0</v>
      </c>
      <c r="BL26" s="534">
        <f>SUM(BL27:BL32)</f>
        <v>28</v>
      </c>
    </row>
    <row r="27" spans="1:64" ht="15.75" x14ac:dyDescent="0.2">
      <c r="A27" s="54" t="s">
        <v>230</v>
      </c>
      <c r="B27" s="55" t="s">
        <v>234</v>
      </c>
      <c r="C27" s="56"/>
      <c r="D27" s="39">
        <v>7</v>
      </c>
      <c r="E27" s="51"/>
      <c r="F27" s="372">
        <v>60</v>
      </c>
      <c r="G27" s="597"/>
      <c r="H27" s="218">
        <f>SUM(AC27+AI27+AO27+AU27+BA27+BG27)</f>
        <v>60</v>
      </c>
      <c r="I27" s="39"/>
      <c r="J27" s="39"/>
      <c r="K27" s="39"/>
      <c r="L27" s="184">
        <f>SUM(AH27+AN27+AT27+AZ27+BF27+BL27)</f>
        <v>60</v>
      </c>
      <c r="M27" s="39"/>
      <c r="N27" s="39"/>
      <c r="O27" s="39"/>
      <c r="P27" s="409"/>
      <c r="Q27" s="162"/>
      <c r="R27" s="39"/>
      <c r="S27" s="39"/>
      <c r="T27" s="39"/>
      <c r="U27" s="39"/>
      <c r="V27" s="192"/>
      <c r="W27" s="164"/>
      <c r="X27" s="39"/>
      <c r="Y27" s="39"/>
      <c r="Z27" s="39"/>
      <c r="AA27" s="39"/>
      <c r="AB27" s="192"/>
      <c r="AC27" s="175"/>
      <c r="AD27" s="39"/>
      <c r="AE27" s="39"/>
      <c r="AF27" s="39"/>
      <c r="AG27" s="39"/>
      <c r="AH27" s="192"/>
      <c r="AI27" s="164"/>
      <c r="AJ27" s="39"/>
      <c r="AK27" s="39"/>
      <c r="AL27" s="39"/>
      <c r="AM27" s="39"/>
      <c r="AN27" s="200"/>
      <c r="AO27" s="176"/>
      <c r="AP27" s="39"/>
      <c r="AQ27" s="39"/>
      <c r="AR27" s="39"/>
      <c r="AS27" s="39"/>
      <c r="AT27" s="200"/>
      <c r="AU27" s="166"/>
      <c r="AV27" s="135"/>
      <c r="AW27" s="135"/>
      <c r="AX27" s="135"/>
      <c r="AY27" s="135"/>
      <c r="AZ27" s="595"/>
      <c r="BA27" s="162">
        <v>60</v>
      </c>
      <c r="BB27" s="39"/>
      <c r="BC27" s="39"/>
      <c r="BD27" s="39"/>
      <c r="BE27" s="39"/>
      <c r="BF27" s="192">
        <v>60</v>
      </c>
      <c r="BG27" s="164"/>
      <c r="BH27" s="39"/>
      <c r="BI27" s="39"/>
      <c r="BJ27" s="39"/>
      <c r="BK27" s="39"/>
      <c r="BL27" s="192"/>
    </row>
    <row r="28" spans="1:64" ht="15.75" x14ac:dyDescent="0.2">
      <c r="A28" s="58" t="s">
        <v>231</v>
      </c>
      <c r="B28" s="64" t="s">
        <v>10</v>
      </c>
      <c r="C28" s="60"/>
      <c r="D28" s="6">
        <v>3</v>
      </c>
      <c r="E28" s="61"/>
      <c r="F28" s="584">
        <v>48</v>
      </c>
      <c r="G28" s="50"/>
      <c r="H28" s="218">
        <f t="shared" ref="H28:H32" si="22">SUM(AC28+AI28+AO28+AU28+BA28+BG28)</f>
        <v>48</v>
      </c>
      <c r="I28" s="39"/>
      <c r="J28" s="39"/>
      <c r="K28" s="39"/>
      <c r="L28" s="184">
        <f t="shared" ref="L28:L32" si="23">SUM(AH28+AN28+AT28+AZ28+BF28+BL28)</f>
        <v>48</v>
      </c>
      <c r="M28" s="39"/>
      <c r="N28" s="39"/>
      <c r="O28" s="6"/>
      <c r="P28" s="143"/>
      <c r="Q28" s="163"/>
      <c r="R28" s="6"/>
      <c r="S28" s="6"/>
      <c r="T28" s="6"/>
      <c r="U28" s="6"/>
      <c r="V28" s="193"/>
      <c r="W28" s="167"/>
      <c r="X28" s="6"/>
      <c r="Y28" s="6"/>
      <c r="Z28" s="6"/>
      <c r="AA28" s="6"/>
      <c r="AB28" s="193"/>
      <c r="AC28" s="175">
        <v>48</v>
      </c>
      <c r="AD28" s="6"/>
      <c r="AE28" s="6"/>
      <c r="AF28" s="6"/>
      <c r="AG28" s="6"/>
      <c r="AH28" s="193">
        <v>48</v>
      </c>
      <c r="AI28" s="175"/>
      <c r="AJ28" s="6"/>
      <c r="AK28" s="6"/>
      <c r="AL28" s="6"/>
      <c r="AM28" s="6"/>
      <c r="AN28" s="201"/>
      <c r="AO28" s="176"/>
      <c r="AP28" s="6"/>
      <c r="AQ28" s="6"/>
      <c r="AR28" s="6"/>
      <c r="AS28" s="6"/>
      <c r="AT28" s="201"/>
      <c r="AU28" s="176"/>
      <c r="AV28" s="6"/>
      <c r="AW28" s="6"/>
      <c r="AX28" s="6"/>
      <c r="AY28" s="6"/>
      <c r="AZ28" s="193"/>
      <c r="BA28" s="163"/>
      <c r="BB28" s="6"/>
      <c r="BC28" s="6"/>
      <c r="BD28" s="6"/>
      <c r="BE28" s="6"/>
      <c r="BF28" s="193"/>
      <c r="BG28" s="167"/>
      <c r="BH28" s="6"/>
      <c r="BI28" s="6"/>
      <c r="BJ28" s="6"/>
      <c r="BK28" s="6"/>
      <c r="BL28" s="193"/>
    </row>
    <row r="29" spans="1:64" ht="20.25" customHeight="1" x14ac:dyDescent="0.2">
      <c r="A29" s="58" t="s">
        <v>232</v>
      </c>
      <c r="B29" s="62" t="s">
        <v>235</v>
      </c>
      <c r="C29" s="60"/>
      <c r="D29" s="6">
        <v>3</v>
      </c>
      <c r="E29" s="61"/>
      <c r="F29" s="584">
        <v>48</v>
      </c>
      <c r="G29" s="50"/>
      <c r="H29" s="218">
        <f t="shared" si="22"/>
        <v>48</v>
      </c>
      <c r="I29" s="39"/>
      <c r="J29" s="39"/>
      <c r="K29" s="39"/>
      <c r="L29" s="184">
        <f t="shared" si="23"/>
        <v>48</v>
      </c>
      <c r="M29" s="39"/>
      <c r="N29" s="39"/>
      <c r="O29" s="6"/>
      <c r="P29" s="143"/>
      <c r="Q29" s="163"/>
      <c r="R29" s="6"/>
      <c r="S29" s="6"/>
      <c r="T29" s="6"/>
      <c r="U29" s="6"/>
      <c r="V29" s="193"/>
      <c r="W29" s="167"/>
      <c r="X29" s="6"/>
      <c r="Y29" s="6"/>
      <c r="Z29" s="6"/>
      <c r="AA29" s="6"/>
      <c r="AB29" s="193"/>
      <c r="AC29" s="175">
        <v>48</v>
      </c>
      <c r="AD29" s="6"/>
      <c r="AE29" s="6"/>
      <c r="AF29" s="6"/>
      <c r="AG29" s="6"/>
      <c r="AH29" s="193">
        <v>48</v>
      </c>
      <c r="AI29" s="175"/>
      <c r="AJ29" s="6"/>
      <c r="AK29" s="6"/>
      <c r="AL29" s="6"/>
      <c r="AM29" s="6"/>
      <c r="AN29" s="201"/>
      <c r="AO29" s="176"/>
      <c r="AP29" s="6"/>
      <c r="AQ29" s="6"/>
      <c r="AR29" s="6"/>
      <c r="AS29" s="6"/>
      <c r="AT29" s="201"/>
      <c r="AU29" s="176"/>
      <c r="AV29" s="6"/>
      <c r="AW29" s="6"/>
      <c r="AX29" s="6"/>
      <c r="AY29" s="6"/>
      <c r="AZ29" s="193"/>
      <c r="BA29" s="163"/>
      <c r="BB29" s="6"/>
      <c r="BC29" s="6"/>
      <c r="BD29" s="6"/>
      <c r="BE29" s="6"/>
      <c r="BF29" s="193"/>
      <c r="BG29" s="167"/>
      <c r="BH29" s="6"/>
      <c r="BI29" s="6"/>
      <c r="BJ29" s="6"/>
      <c r="BK29" s="6"/>
      <c r="BL29" s="193"/>
    </row>
    <row r="30" spans="1:64" ht="32.25" customHeight="1" x14ac:dyDescent="0.2">
      <c r="A30" s="58" t="s">
        <v>233</v>
      </c>
      <c r="B30" s="62" t="s">
        <v>219</v>
      </c>
      <c r="C30" s="60"/>
      <c r="D30" s="6" t="s">
        <v>297</v>
      </c>
      <c r="E30" s="61"/>
      <c r="F30" s="584">
        <v>201</v>
      </c>
      <c r="G30" s="50"/>
      <c r="H30" s="218">
        <f t="shared" si="22"/>
        <v>201</v>
      </c>
      <c r="I30" s="39"/>
      <c r="J30" s="39"/>
      <c r="K30" s="39"/>
      <c r="L30" s="184">
        <f t="shared" si="23"/>
        <v>201</v>
      </c>
      <c r="M30" s="39"/>
      <c r="N30" s="39"/>
      <c r="O30" s="6"/>
      <c r="P30" s="143"/>
      <c r="Q30" s="163"/>
      <c r="R30" s="6"/>
      <c r="S30" s="6"/>
      <c r="T30" s="6"/>
      <c r="U30" s="6"/>
      <c r="V30" s="193"/>
      <c r="W30" s="167"/>
      <c r="X30" s="6"/>
      <c r="Y30" s="6"/>
      <c r="Z30" s="6"/>
      <c r="AA30" s="6"/>
      <c r="AB30" s="193"/>
      <c r="AC30" s="175">
        <v>32</v>
      </c>
      <c r="AD30" s="6"/>
      <c r="AE30" s="6"/>
      <c r="AF30" s="6"/>
      <c r="AG30" s="6"/>
      <c r="AH30" s="193">
        <v>32</v>
      </c>
      <c r="AI30" s="175">
        <v>69</v>
      </c>
      <c r="AJ30" s="6"/>
      <c r="AK30" s="6"/>
      <c r="AL30" s="6"/>
      <c r="AM30" s="6"/>
      <c r="AN30" s="201">
        <v>69</v>
      </c>
      <c r="AO30" s="176">
        <v>26</v>
      </c>
      <c r="AP30" s="6"/>
      <c r="AQ30" s="6"/>
      <c r="AR30" s="6"/>
      <c r="AS30" s="6"/>
      <c r="AT30" s="201">
        <v>26</v>
      </c>
      <c r="AU30" s="176">
        <v>40</v>
      </c>
      <c r="AV30" s="6"/>
      <c r="AW30" s="6"/>
      <c r="AX30" s="6"/>
      <c r="AY30" s="6"/>
      <c r="AZ30" s="193">
        <v>40</v>
      </c>
      <c r="BA30" s="163">
        <v>20</v>
      </c>
      <c r="BB30" s="6"/>
      <c r="BC30" s="6"/>
      <c r="BD30" s="6"/>
      <c r="BE30" s="6"/>
      <c r="BF30" s="193">
        <v>20</v>
      </c>
      <c r="BG30" s="167">
        <v>14</v>
      </c>
      <c r="BH30" s="6"/>
      <c r="BI30" s="6"/>
      <c r="BJ30" s="6"/>
      <c r="BK30" s="6"/>
      <c r="BL30" s="193">
        <v>14</v>
      </c>
    </row>
    <row r="31" spans="1:64" ht="18" customHeight="1" x14ac:dyDescent="0.2">
      <c r="A31" s="80" t="s">
        <v>236</v>
      </c>
      <c r="B31" s="404" t="s">
        <v>22</v>
      </c>
      <c r="C31" s="405"/>
      <c r="D31" s="43" t="s">
        <v>297</v>
      </c>
      <c r="E31" s="406"/>
      <c r="F31" s="584">
        <v>178</v>
      </c>
      <c r="G31" s="598"/>
      <c r="H31" s="218">
        <f t="shared" si="22"/>
        <v>178</v>
      </c>
      <c r="I31" s="109"/>
      <c r="J31" s="109"/>
      <c r="K31" s="109"/>
      <c r="L31" s="184">
        <f t="shared" si="23"/>
        <v>178</v>
      </c>
      <c r="M31" s="109"/>
      <c r="N31" s="109"/>
      <c r="O31" s="43"/>
      <c r="P31" s="327"/>
      <c r="Q31" s="328"/>
      <c r="R31" s="43"/>
      <c r="S31" s="43"/>
      <c r="T31" s="43"/>
      <c r="U31" s="43"/>
      <c r="V31" s="194"/>
      <c r="W31" s="165"/>
      <c r="X31" s="43"/>
      <c r="Y31" s="43"/>
      <c r="Z31" s="43"/>
      <c r="AA31" s="43"/>
      <c r="AB31" s="194"/>
      <c r="AC31" s="175">
        <v>32</v>
      </c>
      <c r="AD31" s="43"/>
      <c r="AE31" s="43"/>
      <c r="AF31" s="43"/>
      <c r="AG31" s="43"/>
      <c r="AH31" s="194">
        <v>32</v>
      </c>
      <c r="AI31" s="175">
        <v>46</v>
      </c>
      <c r="AJ31" s="43"/>
      <c r="AK31" s="43"/>
      <c r="AL31" s="43"/>
      <c r="AM31" s="43"/>
      <c r="AN31" s="202">
        <v>46</v>
      </c>
      <c r="AO31" s="177">
        <v>26</v>
      </c>
      <c r="AP31" s="43"/>
      <c r="AR31" s="43"/>
      <c r="AS31" s="43"/>
      <c r="AT31" s="202">
        <v>26</v>
      </c>
      <c r="AU31" s="177">
        <v>40</v>
      </c>
      <c r="AV31" s="43"/>
      <c r="AW31" s="43"/>
      <c r="AX31" s="43"/>
      <c r="AY31" s="43"/>
      <c r="AZ31" s="194">
        <v>40</v>
      </c>
      <c r="BA31" s="328">
        <v>20</v>
      </c>
      <c r="BB31" s="43"/>
      <c r="BC31" s="43"/>
      <c r="BD31" s="43"/>
      <c r="BE31" s="43"/>
      <c r="BF31" s="194">
        <v>20</v>
      </c>
      <c r="BG31" s="165">
        <v>14</v>
      </c>
      <c r="BH31" s="43"/>
      <c r="BI31" s="43"/>
      <c r="BJ31" s="43"/>
      <c r="BK31" s="43"/>
      <c r="BL31" s="194">
        <v>14</v>
      </c>
    </row>
    <row r="32" spans="1:64" ht="21" customHeight="1" thickBot="1" x14ac:dyDescent="0.25">
      <c r="A32" s="381" t="s">
        <v>288</v>
      </c>
      <c r="B32" s="465" t="s">
        <v>289</v>
      </c>
      <c r="C32" s="43"/>
      <c r="D32" s="43">
        <v>6</v>
      </c>
      <c r="E32" s="406"/>
      <c r="F32" s="585">
        <v>40</v>
      </c>
      <c r="G32" s="599"/>
      <c r="H32" s="219">
        <f t="shared" si="22"/>
        <v>40</v>
      </c>
      <c r="I32" s="43"/>
      <c r="J32" s="43"/>
      <c r="K32" s="43"/>
      <c r="L32" s="487">
        <f t="shared" si="23"/>
        <v>40</v>
      </c>
      <c r="M32" s="43"/>
      <c r="N32" s="43"/>
      <c r="O32" s="43"/>
      <c r="P32" s="43"/>
      <c r="Q32" s="453"/>
      <c r="R32" s="43"/>
      <c r="S32" s="43"/>
      <c r="T32" s="43"/>
      <c r="U32" s="43"/>
      <c r="V32" s="431"/>
      <c r="W32" s="453"/>
      <c r="X32" s="43"/>
      <c r="Y32" s="43"/>
      <c r="Z32" s="43"/>
      <c r="AA32" s="43"/>
      <c r="AB32" s="175"/>
      <c r="AC32" s="175"/>
      <c r="AD32" s="43"/>
      <c r="AE32" s="43"/>
      <c r="AF32" s="43"/>
      <c r="AG32" s="43"/>
      <c r="AH32" s="431"/>
      <c r="AI32" s="175"/>
      <c r="AJ32" s="43"/>
      <c r="AK32" s="43"/>
      <c r="AL32" s="43"/>
      <c r="AM32" s="43"/>
      <c r="AN32" s="431"/>
      <c r="AO32" s="453"/>
      <c r="AP32" s="43"/>
      <c r="AQ32" s="43"/>
      <c r="AR32" s="43"/>
      <c r="AS32" s="43"/>
      <c r="AT32" s="202"/>
      <c r="AU32" s="596">
        <v>40</v>
      </c>
      <c r="AV32" s="44"/>
      <c r="AW32" s="44"/>
      <c r="AX32" s="44"/>
      <c r="AY32" s="44"/>
      <c r="AZ32" s="197">
        <v>40</v>
      </c>
      <c r="BA32" s="165"/>
      <c r="BB32" s="43"/>
      <c r="BC32" s="43"/>
      <c r="BD32" s="43"/>
      <c r="BE32" s="43"/>
      <c r="BF32" s="431"/>
      <c r="BG32" s="453"/>
      <c r="BH32" s="43"/>
      <c r="BI32" s="43"/>
      <c r="BJ32" s="43"/>
      <c r="BK32" s="43"/>
      <c r="BL32" s="431"/>
    </row>
    <row r="33" spans="1:64" ht="32.25" customHeight="1" thickBot="1" x14ac:dyDescent="0.25">
      <c r="A33" s="516" t="s">
        <v>237</v>
      </c>
      <c r="B33" s="517" t="s">
        <v>238</v>
      </c>
      <c r="C33" s="518"/>
      <c r="D33" s="519"/>
      <c r="E33" s="520"/>
      <c r="F33" s="601">
        <f>SUM(F34:F36)</f>
        <v>206</v>
      </c>
      <c r="G33" s="518"/>
      <c r="H33" s="586">
        <f>SUM(H34:H36)</f>
        <v>206</v>
      </c>
      <c r="I33" s="519">
        <f t="shared" ref="I33:AZ33" si="24">SUM(I34:I36)</f>
        <v>16</v>
      </c>
      <c r="J33" s="519">
        <f t="shared" si="24"/>
        <v>0</v>
      </c>
      <c r="K33" s="519">
        <f t="shared" si="24"/>
        <v>0</v>
      </c>
      <c r="L33" s="519">
        <f>SUM(L34:L36)</f>
        <v>190</v>
      </c>
      <c r="M33" s="519">
        <f t="shared" si="24"/>
        <v>0</v>
      </c>
      <c r="N33" s="519">
        <f t="shared" si="24"/>
        <v>0</v>
      </c>
      <c r="O33" s="519">
        <f t="shared" si="24"/>
        <v>0</v>
      </c>
      <c r="P33" s="519">
        <f t="shared" si="24"/>
        <v>0</v>
      </c>
      <c r="Q33" s="519">
        <f t="shared" si="24"/>
        <v>0</v>
      </c>
      <c r="R33" s="519">
        <f t="shared" si="24"/>
        <v>0</v>
      </c>
      <c r="S33" s="519">
        <f t="shared" si="24"/>
        <v>0</v>
      </c>
      <c r="T33" s="519">
        <f t="shared" si="24"/>
        <v>0</v>
      </c>
      <c r="U33" s="519">
        <f t="shared" si="24"/>
        <v>0</v>
      </c>
      <c r="V33" s="519">
        <f t="shared" si="24"/>
        <v>0</v>
      </c>
      <c r="W33" s="519">
        <f t="shared" si="24"/>
        <v>0</v>
      </c>
      <c r="X33" s="519">
        <f t="shared" si="24"/>
        <v>0</v>
      </c>
      <c r="Y33" s="519">
        <f t="shared" si="24"/>
        <v>0</v>
      </c>
      <c r="Z33" s="519">
        <f t="shared" si="24"/>
        <v>0</v>
      </c>
      <c r="AA33" s="519">
        <f t="shared" si="24"/>
        <v>0</v>
      </c>
      <c r="AB33" s="519">
        <f t="shared" si="24"/>
        <v>0</v>
      </c>
      <c r="AC33" s="519">
        <f>SUM(AC34:AC36)</f>
        <v>160</v>
      </c>
      <c r="AD33" s="519">
        <f t="shared" si="24"/>
        <v>0</v>
      </c>
      <c r="AE33" s="519">
        <f t="shared" si="24"/>
        <v>16</v>
      </c>
      <c r="AF33" s="519">
        <f t="shared" si="24"/>
        <v>0</v>
      </c>
      <c r="AG33" s="519">
        <f t="shared" si="24"/>
        <v>0</v>
      </c>
      <c r="AH33" s="519">
        <f>SUM(AH34:AH36)</f>
        <v>144</v>
      </c>
      <c r="AI33" s="519">
        <f t="shared" si="24"/>
        <v>46</v>
      </c>
      <c r="AJ33" s="519">
        <f t="shared" si="24"/>
        <v>0</v>
      </c>
      <c r="AK33" s="519">
        <f t="shared" si="24"/>
        <v>0</v>
      </c>
      <c r="AL33" s="519">
        <f t="shared" si="24"/>
        <v>0</v>
      </c>
      <c r="AM33" s="519">
        <f t="shared" si="24"/>
        <v>0</v>
      </c>
      <c r="AN33" s="519">
        <f t="shared" si="24"/>
        <v>46</v>
      </c>
      <c r="AO33" s="519">
        <f t="shared" si="24"/>
        <v>0</v>
      </c>
      <c r="AP33" s="519">
        <f t="shared" si="24"/>
        <v>0</v>
      </c>
      <c r="AQ33" s="519">
        <f t="shared" si="24"/>
        <v>0</v>
      </c>
      <c r="AR33" s="519">
        <f t="shared" si="24"/>
        <v>0</v>
      </c>
      <c r="AS33" s="519">
        <f t="shared" si="24"/>
        <v>0</v>
      </c>
      <c r="AT33" s="519">
        <f t="shared" si="24"/>
        <v>0</v>
      </c>
      <c r="AU33" s="519">
        <f t="shared" si="24"/>
        <v>0</v>
      </c>
      <c r="AV33" s="519">
        <f t="shared" si="24"/>
        <v>0</v>
      </c>
      <c r="AW33" s="519">
        <f t="shared" si="24"/>
        <v>0</v>
      </c>
      <c r="AX33" s="519">
        <f t="shared" si="24"/>
        <v>0</v>
      </c>
      <c r="AY33" s="519">
        <f t="shared" si="24"/>
        <v>0</v>
      </c>
      <c r="AZ33" s="519">
        <f t="shared" si="24"/>
        <v>0</v>
      </c>
      <c r="BA33" s="519">
        <f t="shared" ref="BA33" si="25">SUM(BA34:BA36)</f>
        <v>0</v>
      </c>
      <c r="BB33" s="519">
        <f t="shared" ref="BB33" si="26">SUM(BB34:BB36)</f>
        <v>0</v>
      </c>
      <c r="BC33" s="519">
        <f t="shared" ref="BC33" si="27">SUM(BC34:BC36)</f>
        <v>0</v>
      </c>
      <c r="BD33" s="519">
        <f t="shared" ref="BD33" si="28">SUM(BD34:BD36)</f>
        <v>0</v>
      </c>
      <c r="BE33" s="519">
        <f t="shared" ref="BE33" si="29">SUM(BE34:BE36)</f>
        <v>0</v>
      </c>
      <c r="BF33" s="519">
        <f t="shared" ref="BF33" si="30">SUM(BF34:BF36)</f>
        <v>0</v>
      </c>
      <c r="BG33" s="519">
        <f t="shared" ref="BG33" si="31">SUM(BG34:BG36)</f>
        <v>0</v>
      </c>
      <c r="BH33" s="519">
        <f t="shared" ref="BH33" si="32">SUM(BH34:BH36)</f>
        <v>0</v>
      </c>
      <c r="BI33" s="519">
        <f t="shared" ref="BI33" si="33">SUM(BI34:BI36)</f>
        <v>0</v>
      </c>
      <c r="BJ33" s="519">
        <f t="shared" ref="BJ33" si="34">SUM(BJ34:BJ36)</f>
        <v>0</v>
      </c>
      <c r="BK33" s="519">
        <f t="shared" ref="BK33" si="35">SUM(BK34:BK36)</f>
        <v>0</v>
      </c>
      <c r="BL33" s="521">
        <f t="shared" ref="BL33" si="36">SUM(BL34:BL36)</f>
        <v>0</v>
      </c>
    </row>
    <row r="34" spans="1:64" ht="27.75" customHeight="1" x14ac:dyDescent="0.2">
      <c r="A34" s="54" t="s">
        <v>239</v>
      </c>
      <c r="B34" s="408" t="s">
        <v>240</v>
      </c>
      <c r="C34" s="56"/>
      <c r="D34" s="39">
        <v>3</v>
      </c>
      <c r="E34" s="51"/>
      <c r="F34" s="372">
        <v>88</v>
      </c>
      <c r="G34" s="587"/>
      <c r="H34" s="483">
        <f>SUM(AC34+AI34)</f>
        <v>88</v>
      </c>
      <c r="I34" s="50">
        <v>8</v>
      </c>
      <c r="J34" s="39"/>
      <c r="K34" s="39"/>
      <c r="L34" s="184">
        <f>SUM(AH34+AN34)</f>
        <v>80</v>
      </c>
      <c r="M34" s="39"/>
      <c r="N34" s="39"/>
      <c r="O34" s="39"/>
      <c r="P34" s="409"/>
      <c r="Q34" s="162"/>
      <c r="R34" s="39"/>
      <c r="S34" s="39"/>
      <c r="T34" s="39"/>
      <c r="U34" s="39"/>
      <c r="V34" s="192"/>
      <c r="W34" s="164"/>
      <c r="X34" s="39"/>
      <c r="Y34" s="39"/>
      <c r="Z34" s="39"/>
      <c r="AA34" s="39"/>
      <c r="AB34" s="192"/>
      <c r="AC34" s="175">
        <v>88</v>
      </c>
      <c r="AD34" s="39"/>
      <c r="AE34" s="39">
        <v>8</v>
      </c>
      <c r="AF34" s="39"/>
      <c r="AG34" s="39"/>
      <c r="AH34" s="192">
        <v>80</v>
      </c>
      <c r="AI34" s="175"/>
      <c r="AJ34" s="39"/>
      <c r="AK34" s="39"/>
      <c r="AL34" s="39"/>
      <c r="AM34" s="39"/>
      <c r="AN34" s="200"/>
      <c r="AO34" s="176"/>
      <c r="AP34" s="39"/>
      <c r="AQ34" s="39"/>
      <c r="AR34" s="39"/>
      <c r="AS34" s="39"/>
      <c r="AT34" s="192"/>
      <c r="AU34" s="176"/>
      <c r="AV34" s="39"/>
      <c r="AW34" s="39"/>
      <c r="AX34" s="39"/>
      <c r="AY34" s="39"/>
      <c r="AZ34" s="200"/>
      <c r="BA34" s="466"/>
      <c r="BB34" s="466"/>
      <c r="BC34" s="466"/>
      <c r="BD34" s="466"/>
      <c r="BE34" s="466"/>
      <c r="BF34" s="466"/>
      <c r="BG34" s="466"/>
      <c r="BH34" s="466"/>
      <c r="BI34" s="466"/>
      <c r="BJ34" s="466"/>
      <c r="BK34" s="466"/>
      <c r="BL34" s="466"/>
    </row>
    <row r="35" spans="1:64" ht="30" customHeight="1" x14ac:dyDescent="0.2">
      <c r="A35" s="58" t="s">
        <v>241</v>
      </c>
      <c r="B35" s="62" t="s">
        <v>242</v>
      </c>
      <c r="C35" s="60"/>
      <c r="D35" s="6">
        <v>3</v>
      </c>
      <c r="E35" s="61"/>
      <c r="F35" s="584">
        <v>72</v>
      </c>
      <c r="G35" s="587"/>
      <c r="H35" s="484">
        <f t="shared" ref="H35:H36" si="37">SUM(AC35+AI35)</f>
        <v>72</v>
      </c>
      <c r="I35" s="50">
        <v>8</v>
      </c>
      <c r="J35" s="39"/>
      <c r="K35" s="39"/>
      <c r="L35" s="184">
        <f t="shared" ref="L35:L36" si="38">SUM(AH35+AN35)</f>
        <v>64</v>
      </c>
      <c r="M35" s="39"/>
      <c r="N35" s="39"/>
      <c r="O35" s="6"/>
      <c r="P35" s="143"/>
      <c r="Q35" s="163"/>
      <c r="R35" s="6"/>
      <c r="S35" s="6"/>
      <c r="T35" s="6"/>
      <c r="U35" s="6"/>
      <c r="V35" s="193"/>
      <c r="W35" s="167"/>
      <c r="X35" s="6"/>
      <c r="Y35" s="6"/>
      <c r="Z35" s="6"/>
      <c r="AA35" s="6"/>
      <c r="AB35" s="193"/>
      <c r="AC35" s="175">
        <v>72</v>
      </c>
      <c r="AD35" s="6"/>
      <c r="AE35" s="6">
        <v>8</v>
      </c>
      <c r="AF35" s="6"/>
      <c r="AG35" s="6"/>
      <c r="AH35" s="193">
        <v>64</v>
      </c>
      <c r="AI35" s="175"/>
      <c r="AJ35" s="6"/>
      <c r="AK35" s="6"/>
      <c r="AL35" s="6"/>
      <c r="AM35" s="6"/>
      <c r="AN35" s="201"/>
      <c r="AO35" s="176"/>
      <c r="AP35" s="6"/>
      <c r="AQ35" s="6"/>
      <c r="AR35" s="6"/>
      <c r="AS35" s="6"/>
      <c r="AT35" s="193"/>
      <c r="AU35" s="176"/>
      <c r="AV35" s="6"/>
      <c r="AW35" s="6"/>
      <c r="AX35" s="6"/>
      <c r="AY35" s="6"/>
      <c r="AZ35" s="193"/>
      <c r="BA35" s="164"/>
      <c r="BB35" s="39"/>
      <c r="BC35" s="39"/>
      <c r="BD35" s="39"/>
      <c r="BE35" s="39"/>
      <c r="BF35" s="192"/>
      <c r="BG35" s="164"/>
      <c r="BH35" s="39"/>
      <c r="BI35" s="39"/>
      <c r="BJ35" s="39"/>
      <c r="BK35" s="39"/>
      <c r="BL35" s="184"/>
    </row>
    <row r="36" spans="1:64" ht="29.25" customHeight="1" thickBot="1" x14ac:dyDescent="0.25">
      <c r="A36" s="58" t="s">
        <v>243</v>
      </c>
      <c r="B36" s="62" t="s">
        <v>244</v>
      </c>
      <c r="C36" s="63"/>
      <c r="D36" s="6">
        <v>4</v>
      </c>
      <c r="E36" s="61"/>
      <c r="F36" s="585">
        <v>46</v>
      </c>
      <c r="G36" s="587"/>
      <c r="H36" s="581">
        <f t="shared" si="37"/>
        <v>46</v>
      </c>
      <c r="I36" s="50"/>
      <c r="J36" s="39"/>
      <c r="K36" s="39"/>
      <c r="L36" s="184">
        <f t="shared" si="38"/>
        <v>46</v>
      </c>
      <c r="M36" s="39"/>
      <c r="N36" s="39"/>
      <c r="O36" s="6"/>
      <c r="P36" s="143"/>
      <c r="Q36" s="163"/>
      <c r="R36" s="6"/>
      <c r="S36" s="6"/>
      <c r="T36" s="6"/>
      <c r="U36" s="6"/>
      <c r="V36" s="193"/>
      <c r="W36" s="167"/>
      <c r="X36" s="6"/>
      <c r="Y36" s="6"/>
      <c r="Z36" s="6"/>
      <c r="AA36" s="6"/>
      <c r="AB36" s="193"/>
      <c r="AC36" s="175"/>
      <c r="AD36" s="6"/>
      <c r="AE36" s="6"/>
      <c r="AF36" s="6"/>
      <c r="AG36" s="6"/>
      <c r="AH36" s="193"/>
      <c r="AI36" s="175">
        <v>46</v>
      </c>
      <c r="AJ36" s="6"/>
      <c r="AK36" s="6"/>
      <c r="AL36" s="6"/>
      <c r="AM36" s="6"/>
      <c r="AN36" s="201">
        <v>46</v>
      </c>
      <c r="AO36" s="176"/>
      <c r="AP36" s="6"/>
      <c r="AQ36" s="6"/>
      <c r="AR36" s="6"/>
      <c r="AS36" s="6"/>
      <c r="AT36" s="193"/>
      <c r="AU36" s="176"/>
      <c r="AV36" s="6"/>
      <c r="AW36" s="6"/>
      <c r="AX36" s="6"/>
      <c r="AY36" s="6"/>
      <c r="AZ36" s="193"/>
      <c r="BA36" s="165"/>
      <c r="BB36" s="43"/>
      <c r="BC36" s="43"/>
      <c r="BD36" s="43"/>
      <c r="BE36" s="43"/>
      <c r="BF36" s="194"/>
      <c r="BG36" s="165"/>
      <c r="BH36" s="43"/>
      <c r="BI36" s="43"/>
      <c r="BJ36" s="43"/>
      <c r="BK36" s="43"/>
      <c r="BL36" s="187"/>
    </row>
    <row r="37" spans="1:64" ht="0.75" customHeight="1" thickBot="1" x14ac:dyDescent="0.25">
      <c r="A37" s="58"/>
      <c r="B37" s="59"/>
      <c r="C37" s="60"/>
      <c r="D37" s="6"/>
      <c r="E37" s="61"/>
      <c r="F37" s="395">
        <f t="shared" ref="F37" si="39">SUM(G37:H37)</f>
        <v>0</v>
      </c>
      <c r="G37" s="56"/>
      <c r="H37" s="218">
        <f>SUM(AC37+AI37+AO37+AU37)</f>
        <v>0</v>
      </c>
      <c r="I37" s="39"/>
      <c r="J37" s="39"/>
      <c r="K37" s="39"/>
      <c r="L37" s="184">
        <f>SUM(AH37+AN37+AT37+AZ37)</f>
        <v>0</v>
      </c>
      <c r="M37" s="39"/>
      <c r="N37" s="39"/>
      <c r="O37" s="6"/>
      <c r="P37" s="143"/>
      <c r="Q37" s="163"/>
      <c r="R37" s="6"/>
      <c r="S37" s="6"/>
      <c r="T37" s="6"/>
      <c r="U37" s="6"/>
      <c r="V37" s="193"/>
      <c r="W37" s="167"/>
      <c r="X37" s="6"/>
      <c r="Y37" s="6"/>
      <c r="Z37" s="6"/>
      <c r="AA37" s="6"/>
      <c r="AB37" s="193"/>
      <c r="AC37" s="176"/>
      <c r="AD37" s="6"/>
      <c r="AE37" s="6"/>
      <c r="AF37" s="6"/>
      <c r="AG37" s="6"/>
      <c r="AH37" s="193"/>
      <c r="AI37" s="164"/>
      <c r="AJ37" s="6"/>
      <c r="AK37" s="6"/>
      <c r="AL37" s="6"/>
      <c r="AM37" s="6"/>
      <c r="AN37" s="201"/>
      <c r="AO37" s="176"/>
      <c r="AP37" s="6"/>
      <c r="AQ37" s="6"/>
      <c r="AR37" s="6"/>
      <c r="AS37" s="6"/>
      <c r="AT37" s="193"/>
      <c r="AU37" s="176"/>
      <c r="AV37" s="6"/>
      <c r="AW37" s="6"/>
      <c r="AX37" s="6"/>
      <c r="AY37" s="6"/>
      <c r="AZ37" s="193"/>
      <c r="BA37" s="155">
        <f t="shared" ref="BA37:BL37" si="40">SUM(BA38:BA50)</f>
        <v>0</v>
      </c>
      <c r="BB37" s="155">
        <f t="shared" si="40"/>
        <v>0</v>
      </c>
      <c r="BC37" s="155">
        <f t="shared" si="40"/>
        <v>0</v>
      </c>
      <c r="BD37" s="155">
        <f t="shared" si="40"/>
        <v>0</v>
      </c>
      <c r="BE37" s="155">
        <f t="shared" si="40"/>
        <v>0</v>
      </c>
      <c r="BF37" s="155">
        <f t="shared" si="40"/>
        <v>0</v>
      </c>
      <c r="BG37" s="155">
        <f t="shared" si="40"/>
        <v>42</v>
      </c>
      <c r="BH37" s="155">
        <f t="shared" si="40"/>
        <v>0</v>
      </c>
      <c r="BI37" s="155">
        <f t="shared" si="40"/>
        <v>0</v>
      </c>
      <c r="BJ37" s="155">
        <f t="shared" si="40"/>
        <v>0</v>
      </c>
      <c r="BK37" s="155">
        <f t="shared" si="40"/>
        <v>0</v>
      </c>
      <c r="BL37" s="155">
        <f t="shared" si="40"/>
        <v>42</v>
      </c>
    </row>
    <row r="38" spans="1:64" ht="16.5" hidden="1" customHeight="1" thickBot="1" x14ac:dyDescent="0.25">
      <c r="A38" s="58"/>
      <c r="B38" s="64"/>
      <c r="C38" s="121"/>
      <c r="D38" s="43"/>
      <c r="E38" s="102"/>
      <c r="F38" s="371"/>
      <c r="G38" s="326"/>
      <c r="H38" s="219"/>
      <c r="I38" s="109"/>
      <c r="J38" s="109"/>
      <c r="K38" s="109"/>
      <c r="L38" s="184"/>
      <c r="M38" s="43"/>
      <c r="N38" s="43"/>
      <c r="O38" s="43"/>
      <c r="P38" s="327"/>
      <c r="Q38" s="328"/>
      <c r="R38" s="43"/>
      <c r="S38" s="43"/>
      <c r="T38" s="43"/>
      <c r="U38" s="43"/>
      <c r="V38" s="194"/>
      <c r="W38" s="165"/>
      <c r="X38" s="43"/>
      <c r="Y38" s="43"/>
      <c r="Z38" s="43"/>
      <c r="AA38" s="43"/>
      <c r="AB38" s="194"/>
      <c r="AC38" s="177"/>
      <c r="AD38" s="43"/>
      <c r="AE38" s="43"/>
      <c r="AF38" s="43"/>
      <c r="AG38" s="43"/>
      <c r="AH38" s="194"/>
      <c r="AI38" s="168"/>
      <c r="AJ38" s="43"/>
      <c r="AK38" s="43"/>
      <c r="AL38" s="43"/>
      <c r="AM38" s="43"/>
      <c r="AN38" s="202"/>
      <c r="AO38" s="177"/>
      <c r="AP38" s="43"/>
      <c r="AQ38" s="43"/>
      <c r="AR38" s="43"/>
      <c r="AS38" s="43"/>
      <c r="AT38" s="194"/>
      <c r="AU38" s="177"/>
      <c r="AV38" s="43"/>
      <c r="AW38" s="43"/>
      <c r="AX38" s="43"/>
      <c r="AY38" s="43"/>
      <c r="AZ38" s="194"/>
      <c r="BA38" s="166"/>
      <c r="BB38" s="39"/>
      <c r="BC38" s="39"/>
      <c r="BD38" s="39"/>
      <c r="BE38" s="39"/>
      <c r="BF38" s="192"/>
      <c r="BG38" s="164"/>
      <c r="BH38" s="39"/>
      <c r="BI38" s="39"/>
      <c r="BJ38" s="39"/>
      <c r="BK38" s="39"/>
      <c r="BL38" s="184"/>
    </row>
    <row r="39" spans="1:64" ht="1.5" customHeight="1" thickBot="1" x14ac:dyDescent="0.25">
      <c r="A39" s="374"/>
      <c r="B39" s="375"/>
      <c r="C39" s="140"/>
      <c r="D39" s="141"/>
      <c r="E39" s="142"/>
      <c r="F39" s="372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64"/>
      <c r="BB39" s="39"/>
      <c r="BC39" s="39"/>
      <c r="BD39" s="39"/>
      <c r="BE39" s="39"/>
      <c r="BF39" s="192"/>
      <c r="BG39" s="164"/>
      <c r="BH39" s="39"/>
      <c r="BI39" s="39"/>
      <c r="BJ39" s="39"/>
      <c r="BK39" s="39"/>
      <c r="BL39" s="184"/>
    </row>
    <row r="40" spans="1:64" ht="16.5" hidden="1" customHeight="1" thickBot="1" x14ac:dyDescent="0.25">
      <c r="A40" s="376"/>
      <c r="B40" s="377"/>
      <c r="C40" s="117"/>
      <c r="D40" s="110"/>
      <c r="E40" s="98"/>
      <c r="F40" s="372"/>
      <c r="G40" s="65"/>
      <c r="H40" s="220"/>
      <c r="I40" s="12"/>
      <c r="J40" s="12"/>
      <c r="K40" s="12"/>
      <c r="L40" s="184"/>
      <c r="M40" s="12"/>
      <c r="N40" s="12"/>
      <c r="O40" s="12"/>
      <c r="P40" s="75"/>
      <c r="Q40" s="164"/>
      <c r="R40" s="39"/>
      <c r="S40" s="39"/>
      <c r="T40" s="39"/>
      <c r="U40" s="39"/>
      <c r="V40" s="192"/>
      <c r="W40" s="164"/>
      <c r="X40" s="39"/>
      <c r="Y40" s="39"/>
      <c r="Z40" s="39"/>
      <c r="AA40" s="39"/>
      <c r="AB40" s="184"/>
      <c r="AC40" s="176"/>
      <c r="AD40" s="39"/>
      <c r="AE40" s="39"/>
      <c r="AF40" s="39"/>
      <c r="AG40" s="39"/>
      <c r="AH40" s="192"/>
      <c r="AI40" s="164"/>
      <c r="AJ40" s="39"/>
      <c r="AK40" s="39"/>
      <c r="AL40" s="39"/>
      <c r="AM40" s="39"/>
      <c r="AN40" s="192"/>
      <c r="AO40" s="164"/>
      <c r="AP40" s="39"/>
      <c r="AQ40" s="39"/>
      <c r="AR40" s="39"/>
      <c r="AS40" s="39"/>
      <c r="AT40" s="192"/>
      <c r="AU40" s="164"/>
      <c r="AV40" s="39"/>
      <c r="AW40" s="39"/>
      <c r="AX40" s="39"/>
      <c r="AY40" s="39"/>
      <c r="AZ40" s="192"/>
      <c r="BA40" s="164"/>
      <c r="BB40" s="39"/>
      <c r="BC40" s="39"/>
      <c r="BD40" s="39"/>
      <c r="BE40" s="39"/>
      <c r="BF40" s="192"/>
      <c r="BG40" s="164"/>
      <c r="BH40" s="39"/>
      <c r="BI40" s="39"/>
      <c r="BJ40" s="39"/>
      <c r="BK40" s="39"/>
      <c r="BL40" s="184"/>
    </row>
    <row r="41" spans="1:64" ht="16.5" hidden="1" customHeight="1" thickBot="1" x14ac:dyDescent="0.25">
      <c r="A41" s="378"/>
      <c r="B41" s="535"/>
      <c r="C41" s="67"/>
      <c r="D41" s="38"/>
      <c r="E41" s="536"/>
      <c r="F41" s="407"/>
      <c r="G41" s="537"/>
      <c r="H41" s="538"/>
      <c r="I41" s="38"/>
      <c r="J41" s="38"/>
      <c r="K41" s="38"/>
      <c r="L41" s="487"/>
      <c r="M41" s="38"/>
      <c r="N41" s="38"/>
      <c r="O41" s="38"/>
      <c r="P41" s="79"/>
      <c r="Q41" s="165"/>
      <c r="R41" s="43"/>
      <c r="S41" s="43"/>
      <c r="T41" s="43"/>
      <c r="U41" s="43"/>
      <c r="V41" s="194"/>
      <c r="W41" s="165"/>
      <c r="X41" s="43"/>
      <c r="Y41" s="43"/>
      <c r="Z41" s="43"/>
      <c r="AA41" s="43"/>
      <c r="AB41" s="431"/>
      <c r="AC41" s="177"/>
      <c r="AD41" s="43"/>
      <c r="AE41" s="43"/>
      <c r="AF41" s="43"/>
      <c r="AG41" s="43"/>
      <c r="AH41" s="194"/>
      <c r="AI41" s="168"/>
      <c r="AJ41" s="43"/>
      <c r="AK41" s="43"/>
      <c r="AL41" s="43"/>
      <c r="AM41" s="43"/>
      <c r="AN41" s="202"/>
      <c r="AO41" s="357"/>
      <c r="AP41" s="43"/>
      <c r="AQ41" s="43"/>
      <c r="AR41" s="43"/>
      <c r="AS41" s="43"/>
      <c r="AT41" s="194"/>
      <c r="AU41" s="168"/>
      <c r="AV41" s="43"/>
      <c r="AW41" s="43"/>
      <c r="AX41" s="43"/>
      <c r="AY41" s="43"/>
      <c r="AZ41" s="194"/>
      <c r="BA41" s="168"/>
      <c r="BB41" s="109"/>
      <c r="BC41" s="109"/>
      <c r="BD41" s="109"/>
      <c r="BE41" s="109"/>
      <c r="BF41" s="360"/>
      <c r="BG41" s="168"/>
      <c r="BH41" s="109"/>
      <c r="BI41" s="109"/>
      <c r="BJ41" s="109"/>
      <c r="BK41" s="109"/>
      <c r="BL41" s="487"/>
    </row>
    <row r="42" spans="1:64" ht="17.25" customHeight="1" thickBot="1" x14ac:dyDescent="0.25">
      <c r="A42" s="541" t="s">
        <v>11</v>
      </c>
      <c r="B42" s="542" t="s">
        <v>62</v>
      </c>
      <c r="C42" s="533">
        <v>5</v>
      </c>
      <c r="D42" s="533">
        <v>7</v>
      </c>
      <c r="E42" s="533">
        <v>2</v>
      </c>
      <c r="F42" s="533">
        <f>SUM(F43:F55)</f>
        <v>1019</v>
      </c>
      <c r="G42" s="533">
        <f>SUM(G43:G56)</f>
        <v>37</v>
      </c>
      <c r="H42" s="533">
        <f>SUM(H43:H55)</f>
        <v>982</v>
      </c>
      <c r="I42" s="533">
        <f t="shared" ref="I42:K42" si="41">SUM(I43:I55)</f>
        <v>8</v>
      </c>
      <c r="J42" s="533">
        <f t="shared" si="41"/>
        <v>10</v>
      </c>
      <c r="K42" s="533">
        <f t="shared" si="41"/>
        <v>0</v>
      </c>
      <c r="L42" s="533">
        <f>SUM(L43:L55)</f>
        <v>964</v>
      </c>
      <c r="M42" s="533">
        <f t="shared" ref="M42:AG42" si="42">SUM(M43:M54)</f>
        <v>0</v>
      </c>
      <c r="N42" s="533">
        <f t="shared" si="42"/>
        <v>0</v>
      </c>
      <c r="O42" s="533">
        <f t="shared" si="42"/>
        <v>0</v>
      </c>
      <c r="P42" s="533">
        <f t="shared" si="42"/>
        <v>0</v>
      </c>
      <c r="Q42" s="533">
        <f t="shared" si="42"/>
        <v>0</v>
      </c>
      <c r="R42" s="533">
        <f t="shared" si="42"/>
        <v>0</v>
      </c>
      <c r="S42" s="533">
        <f t="shared" si="42"/>
        <v>0</v>
      </c>
      <c r="T42" s="533">
        <f t="shared" si="42"/>
        <v>0</v>
      </c>
      <c r="U42" s="533">
        <f t="shared" si="42"/>
        <v>0</v>
      </c>
      <c r="V42" s="533">
        <f t="shared" si="42"/>
        <v>0</v>
      </c>
      <c r="W42" s="533">
        <f t="shared" si="42"/>
        <v>0</v>
      </c>
      <c r="X42" s="533">
        <f t="shared" si="42"/>
        <v>0</v>
      </c>
      <c r="Y42" s="533">
        <f t="shared" si="42"/>
        <v>0</v>
      </c>
      <c r="Z42" s="533">
        <f t="shared" si="42"/>
        <v>0</v>
      </c>
      <c r="AA42" s="533">
        <f t="shared" si="42"/>
        <v>0</v>
      </c>
      <c r="AB42" s="533">
        <f t="shared" si="42"/>
        <v>0</v>
      </c>
      <c r="AC42" s="533">
        <f>SUM(AC43:AC54)</f>
        <v>292</v>
      </c>
      <c r="AD42" s="533">
        <f t="shared" si="42"/>
        <v>0</v>
      </c>
      <c r="AE42" s="533">
        <f t="shared" si="42"/>
        <v>0</v>
      </c>
      <c r="AF42" s="533">
        <f t="shared" si="42"/>
        <v>0</v>
      </c>
      <c r="AG42" s="533">
        <f t="shared" si="42"/>
        <v>0</v>
      </c>
      <c r="AH42" s="533">
        <f>SUM(AH43:AH54)</f>
        <v>292</v>
      </c>
      <c r="AI42" s="533">
        <f>SUM(AI43:AI55)</f>
        <v>487</v>
      </c>
      <c r="AJ42" s="533">
        <f t="shared" ref="AJ42:AM42" si="43">SUM(AJ43:AJ55)</f>
        <v>37</v>
      </c>
      <c r="AK42" s="533">
        <f t="shared" si="43"/>
        <v>8</v>
      </c>
      <c r="AL42" s="533">
        <f t="shared" si="43"/>
        <v>10</v>
      </c>
      <c r="AM42" s="533">
        <f t="shared" si="43"/>
        <v>0</v>
      </c>
      <c r="AN42" s="533">
        <f>SUM(AN43:AN55)</f>
        <v>432</v>
      </c>
      <c r="AO42" s="533">
        <f>SUM(AO43:AO55)</f>
        <v>78</v>
      </c>
      <c r="AP42" s="533">
        <f t="shared" ref="AP42:BL42" si="44">SUM(AP43:AP55)</f>
        <v>0</v>
      </c>
      <c r="AQ42" s="533">
        <f t="shared" si="44"/>
        <v>0</v>
      </c>
      <c r="AR42" s="533">
        <f t="shared" si="44"/>
        <v>0</v>
      </c>
      <c r="AS42" s="533">
        <f t="shared" si="44"/>
        <v>0</v>
      </c>
      <c r="AT42" s="533">
        <f t="shared" si="44"/>
        <v>78</v>
      </c>
      <c r="AU42" s="533">
        <f t="shared" si="44"/>
        <v>120</v>
      </c>
      <c r="AV42" s="533">
        <f t="shared" si="44"/>
        <v>0</v>
      </c>
      <c r="AW42" s="533">
        <f t="shared" si="44"/>
        <v>0</v>
      </c>
      <c r="AX42" s="533">
        <f t="shared" si="44"/>
        <v>0</v>
      </c>
      <c r="AY42" s="533">
        <f t="shared" si="44"/>
        <v>0</v>
      </c>
      <c r="AZ42" s="533">
        <f t="shared" si="44"/>
        <v>120</v>
      </c>
      <c r="BA42" s="533">
        <f t="shared" si="44"/>
        <v>0</v>
      </c>
      <c r="BB42" s="533">
        <f t="shared" si="44"/>
        <v>0</v>
      </c>
      <c r="BC42" s="533">
        <f t="shared" si="44"/>
        <v>0</v>
      </c>
      <c r="BD42" s="533">
        <f t="shared" si="44"/>
        <v>0</v>
      </c>
      <c r="BE42" s="533">
        <f t="shared" si="44"/>
        <v>0</v>
      </c>
      <c r="BF42" s="533">
        <f t="shared" si="44"/>
        <v>0</v>
      </c>
      <c r="BG42" s="533">
        <f t="shared" si="44"/>
        <v>42</v>
      </c>
      <c r="BH42" s="533">
        <f t="shared" si="44"/>
        <v>0</v>
      </c>
      <c r="BI42" s="533">
        <f t="shared" si="44"/>
        <v>0</v>
      </c>
      <c r="BJ42" s="533">
        <f t="shared" si="44"/>
        <v>0</v>
      </c>
      <c r="BK42" s="533">
        <f t="shared" si="44"/>
        <v>0</v>
      </c>
      <c r="BL42" s="534">
        <f t="shared" si="44"/>
        <v>42</v>
      </c>
    </row>
    <row r="43" spans="1:64" ht="15.75" x14ac:dyDescent="0.2">
      <c r="A43" s="15" t="s">
        <v>12</v>
      </c>
      <c r="B43" s="539" t="s">
        <v>246</v>
      </c>
      <c r="C43" s="50"/>
      <c r="D43" s="39">
        <v>4</v>
      </c>
      <c r="E43" s="51"/>
      <c r="F43" s="540">
        <f t="shared" ref="F43:F54" si="45">SUM(G43:H43)</f>
        <v>75</v>
      </c>
      <c r="G43" s="50">
        <v>6</v>
      </c>
      <c r="H43" s="220">
        <v>69</v>
      </c>
      <c r="I43" s="39"/>
      <c r="J43" s="39"/>
      <c r="K43" s="39"/>
      <c r="L43" s="184">
        <f>SUM(AH43+AN43+AT43+AZ43+BF43+BL43)</f>
        <v>69</v>
      </c>
      <c r="M43" s="39"/>
      <c r="N43" s="39"/>
      <c r="O43" s="39"/>
      <c r="P43" s="66"/>
      <c r="Q43" s="176"/>
      <c r="R43" s="39"/>
      <c r="S43" s="39"/>
      <c r="T43" s="39"/>
      <c r="U43" s="39"/>
      <c r="V43" s="192"/>
      <c r="W43" s="164"/>
      <c r="X43" s="39"/>
      <c r="Y43" s="39"/>
      <c r="Z43" s="39"/>
      <c r="AA43" s="39"/>
      <c r="AB43" s="200"/>
      <c r="AC43" s="619"/>
      <c r="AD43" s="135"/>
      <c r="AE43" s="135"/>
      <c r="AF43" s="135"/>
      <c r="AG43" s="135"/>
      <c r="AH43" s="595"/>
      <c r="AI43" s="164">
        <v>75</v>
      </c>
      <c r="AJ43" s="39">
        <v>6</v>
      </c>
      <c r="AK43" s="39"/>
      <c r="AL43" s="39"/>
      <c r="AM43" s="39"/>
      <c r="AN43" s="200">
        <v>69</v>
      </c>
      <c r="AO43" s="176"/>
      <c r="AP43" s="39"/>
      <c r="AQ43" s="39"/>
      <c r="AR43" s="39"/>
      <c r="AS43" s="39"/>
      <c r="AT43" s="192"/>
      <c r="AU43" s="176"/>
      <c r="AV43" s="39"/>
      <c r="AW43" s="39"/>
      <c r="AX43" s="39"/>
      <c r="AY43" s="39"/>
      <c r="AZ43" s="192"/>
      <c r="BA43" s="164"/>
      <c r="BB43" s="39"/>
      <c r="BC43" s="39"/>
      <c r="BD43" s="39"/>
      <c r="BE43" s="39"/>
      <c r="BF43" s="192"/>
      <c r="BG43" s="164"/>
      <c r="BH43" s="39"/>
      <c r="BI43" s="39"/>
      <c r="BJ43" s="39"/>
      <c r="BK43" s="39"/>
      <c r="BL43" s="184"/>
    </row>
    <row r="44" spans="1:64" ht="15.75" x14ac:dyDescent="0.2">
      <c r="A44" s="15" t="s">
        <v>13</v>
      </c>
      <c r="B44" s="122" t="s">
        <v>247</v>
      </c>
      <c r="C44" s="50"/>
      <c r="D44" s="39">
        <v>3</v>
      </c>
      <c r="E44" s="51"/>
      <c r="F44" s="476">
        <f t="shared" si="45"/>
        <v>48</v>
      </c>
      <c r="G44" s="50"/>
      <c r="H44" s="220">
        <v>48</v>
      </c>
      <c r="I44" s="39"/>
      <c r="J44" s="39"/>
      <c r="K44" s="39"/>
      <c r="L44" s="184">
        <f t="shared" ref="L44:L54" si="46">SUM(AH44+AN44+AT44+AZ44+BF44+BL44)</f>
        <v>48</v>
      </c>
      <c r="M44" s="39"/>
      <c r="N44" s="39"/>
      <c r="O44" s="39"/>
      <c r="P44" s="78"/>
      <c r="Q44" s="164"/>
      <c r="R44" s="39"/>
      <c r="S44" s="39"/>
      <c r="T44" s="39"/>
      <c r="U44" s="39"/>
      <c r="V44" s="192"/>
      <c r="W44" s="164"/>
      <c r="X44" s="39"/>
      <c r="Y44" s="39"/>
      <c r="Z44" s="39"/>
      <c r="AA44" s="39"/>
      <c r="AB44" s="200"/>
      <c r="AC44" s="161">
        <v>48</v>
      </c>
      <c r="AD44" s="39"/>
      <c r="AE44" s="39"/>
      <c r="AF44" s="39"/>
      <c r="AG44" s="39"/>
      <c r="AH44" s="192">
        <v>48</v>
      </c>
      <c r="AI44" s="164"/>
      <c r="AJ44" s="39"/>
      <c r="AK44" s="39"/>
      <c r="AL44" s="39"/>
      <c r="AM44" s="39"/>
      <c r="AN44" s="200"/>
      <c r="AO44" s="176"/>
      <c r="AP44" s="39"/>
      <c r="AQ44" s="39"/>
      <c r="AR44" s="39"/>
      <c r="AS44" s="39"/>
      <c r="AT44" s="192"/>
      <c r="AU44" s="176"/>
      <c r="AV44" s="39"/>
      <c r="AW44" s="39"/>
      <c r="AX44" s="39"/>
      <c r="AY44" s="39"/>
      <c r="AZ44" s="192"/>
      <c r="BA44" s="164"/>
      <c r="BB44" s="39"/>
      <c r="BC44" s="39"/>
      <c r="BD44" s="6"/>
      <c r="BE44" s="39"/>
      <c r="BF44" s="192"/>
      <c r="BG44" s="164"/>
      <c r="BH44" s="39"/>
      <c r="BI44" s="39"/>
      <c r="BJ44" s="39"/>
      <c r="BK44" s="39"/>
      <c r="BL44" s="184"/>
    </row>
    <row r="45" spans="1:64" ht="15.75" x14ac:dyDescent="0.2">
      <c r="A45" s="15" t="s">
        <v>14</v>
      </c>
      <c r="B45" s="123" t="s">
        <v>248</v>
      </c>
      <c r="C45" s="50"/>
      <c r="D45" s="39">
        <v>3</v>
      </c>
      <c r="E45" s="51"/>
      <c r="F45" s="476">
        <f t="shared" si="45"/>
        <v>64</v>
      </c>
      <c r="G45" s="50"/>
      <c r="H45" s="220">
        <v>64</v>
      </c>
      <c r="I45" s="39"/>
      <c r="J45" s="39"/>
      <c r="K45" s="39"/>
      <c r="L45" s="184">
        <f t="shared" si="46"/>
        <v>64</v>
      </c>
      <c r="M45" s="39"/>
      <c r="N45" s="39"/>
      <c r="O45" s="39"/>
      <c r="P45" s="75"/>
      <c r="Q45" s="164"/>
      <c r="R45" s="39"/>
      <c r="S45" s="39"/>
      <c r="T45" s="39"/>
      <c r="U45" s="39"/>
      <c r="V45" s="192"/>
      <c r="W45" s="164"/>
      <c r="X45" s="39"/>
      <c r="Y45" s="39"/>
      <c r="Z45" s="39"/>
      <c r="AA45" s="39"/>
      <c r="AB45" s="200"/>
      <c r="AC45" s="161">
        <v>64</v>
      </c>
      <c r="AD45" s="39"/>
      <c r="AE45" s="39"/>
      <c r="AF45" s="39"/>
      <c r="AG45" s="39"/>
      <c r="AH45" s="192">
        <v>64</v>
      </c>
      <c r="AI45" s="164"/>
      <c r="AJ45" s="39"/>
      <c r="AK45" s="39"/>
      <c r="AL45" s="39"/>
      <c r="AM45" s="39"/>
      <c r="AN45" s="200"/>
      <c r="AO45" s="180"/>
      <c r="AP45" s="77"/>
      <c r="AQ45" s="77"/>
      <c r="AR45" s="77"/>
      <c r="AS45" s="77"/>
      <c r="AT45" s="203"/>
      <c r="AU45" s="180"/>
      <c r="AV45" s="77"/>
      <c r="AW45" s="77"/>
      <c r="AX45" s="77"/>
      <c r="AY45" s="77"/>
      <c r="AZ45" s="203"/>
      <c r="BA45" s="167"/>
      <c r="BB45" s="6"/>
      <c r="BC45" s="6"/>
      <c r="BD45" s="6"/>
      <c r="BE45" s="6"/>
      <c r="BF45" s="193"/>
      <c r="BG45" s="172"/>
      <c r="BH45" s="70"/>
      <c r="BI45" s="70"/>
      <c r="BJ45" s="70"/>
      <c r="BK45" s="70"/>
      <c r="BL45" s="186"/>
    </row>
    <row r="46" spans="1:64" ht="31.5" x14ac:dyDescent="0.2">
      <c r="A46" s="15" t="s">
        <v>15</v>
      </c>
      <c r="B46" s="122" t="s">
        <v>249</v>
      </c>
      <c r="C46" s="50">
        <v>4</v>
      </c>
      <c r="D46" s="39">
        <v>3</v>
      </c>
      <c r="E46" s="51"/>
      <c r="F46" s="476">
        <f>SUM(G46:H46)</f>
        <v>278</v>
      </c>
      <c r="G46" s="50">
        <v>6</v>
      </c>
      <c r="H46" s="220">
        <v>272</v>
      </c>
      <c r="I46" s="39">
        <v>8</v>
      </c>
      <c r="J46" s="39">
        <v>10</v>
      </c>
      <c r="K46" s="39"/>
      <c r="L46" s="184">
        <f t="shared" si="46"/>
        <v>254</v>
      </c>
      <c r="M46" s="39"/>
      <c r="N46" s="39"/>
      <c r="O46" s="39"/>
      <c r="P46" s="75"/>
      <c r="Q46" s="164"/>
      <c r="R46" s="39"/>
      <c r="S46" s="39"/>
      <c r="T46" s="39"/>
      <c r="U46" s="39"/>
      <c r="V46" s="192"/>
      <c r="W46" s="164"/>
      <c r="X46" s="39"/>
      <c r="Y46" s="39"/>
      <c r="Z46" s="39"/>
      <c r="AA46" s="39"/>
      <c r="AB46" s="200"/>
      <c r="AC46" s="161">
        <v>121</v>
      </c>
      <c r="AD46" s="39"/>
      <c r="AE46" s="39"/>
      <c r="AF46" s="39"/>
      <c r="AG46" s="39"/>
      <c r="AH46" s="192">
        <v>121</v>
      </c>
      <c r="AI46" s="164">
        <v>157</v>
      </c>
      <c r="AJ46" s="39">
        <v>6</v>
      </c>
      <c r="AK46" s="39">
        <v>8</v>
      </c>
      <c r="AL46" s="39">
        <v>10</v>
      </c>
      <c r="AM46" s="39"/>
      <c r="AN46" s="200">
        <v>133</v>
      </c>
      <c r="AO46" s="176"/>
      <c r="AP46" s="39"/>
      <c r="AQ46" s="39"/>
      <c r="AR46" s="39"/>
      <c r="AS46" s="39"/>
      <c r="AT46" s="192"/>
      <c r="AU46" s="176"/>
      <c r="AV46" s="39"/>
      <c r="AW46" s="39"/>
      <c r="AX46" s="39"/>
      <c r="AY46" s="39"/>
      <c r="AZ46" s="192"/>
      <c r="BA46" s="168"/>
      <c r="BB46" s="109"/>
      <c r="BC46" s="109"/>
      <c r="BD46" s="109"/>
      <c r="BE46" s="109"/>
      <c r="BF46" s="194"/>
      <c r="BG46" s="173"/>
      <c r="BH46" s="69"/>
      <c r="BI46" s="69"/>
      <c r="BJ46" s="69"/>
      <c r="BK46" s="69"/>
      <c r="BL46" s="224"/>
    </row>
    <row r="47" spans="1:64" ht="27.75" customHeight="1" x14ac:dyDescent="0.2">
      <c r="A47" s="15" t="s">
        <v>32</v>
      </c>
      <c r="B47" s="124" t="s">
        <v>214</v>
      </c>
      <c r="C47" s="50"/>
      <c r="D47" s="39">
        <v>6</v>
      </c>
      <c r="E47" s="51"/>
      <c r="F47" s="476">
        <f t="shared" si="45"/>
        <v>60</v>
      </c>
      <c r="G47" s="53"/>
      <c r="H47" s="220">
        <v>60</v>
      </c>
      <c r="I47" s="12"/>
      <c r="J47" s="12"/>
      <c r="K47" s="12"/>
      <c r="L47" s="184">
        <f t="shared" si="46"/>
        <v>60</v>
      </c>
      <c r="M47" s="12"/>
      <c r="N47" s="12"/>
      <c r="O47" s="12"/>
      <c r="P47" s="75"/>
      <c r="Q47" s="164"/>
      <c r="R47" s="39"/>
      <c r="S47" s="39"/>
      <c r="T47" s="39"/>
      <c r="U47" s="39"/>
      <c r="V47" s="192"/>
      <c r="W47" s="164"/>
      <c r="X47" s="39"/>
      <c r="Y47" s="39"/>
      <c r="Z47" s="39"/>
      <c r="AA47" s="39"/>
      <c r="AB47" s="200"/>
      <c r="AC47" s="161"/>
      <c r="AD47" s="39"/>
      <c r="AE47" s="39"/>
      <c r="AF47" s="39"/>
      <c r="AG47" s="39"/>
      <c r="AH47" s="192"/>
      <c r="AI47" s="164"/>
      <c r="AJ47" s="39"/>
      <c r="AK47" s="39"/>
      <c r="AL47" s="39"/>
      <c r="AM47" s="39"/>
      <c r="AN47" s="200"/>
      <c r="AO47" s="176"/>
      <c r="AP47" s="39"/>
      <c r="AQ47" s="39"/>
      <c r="AR47" s="39"/>
      <c r="AS47" s="39"/>
      <c r="AT47" s="192"/>
      <c r="AU47" s="176">
        <v>60</v>
      </c>
      <c r="AV47" s="39"/>
      <c r="AW47" s="39"/>
      <c r="AX47" s="39"/>
      <c r="AY47" s="39"/>
      <c r="AZ47" s="192">
        <v>60</v>
      </c>
      <c r="BA47" s="167"/>
      <c r="BB47" s="6"/>
      <c r="BC47" s="6"/>
      <c r="BD47" s="6"/>
      <c r="BE47" s="6"/>
      <c r="BF47" s="193"/>
      <c r="BG47" s="167"/>
      <c r="BH47" s="6"/>
      <c r="BI47" s="6"/>
      <c r="BJ47" s="6"/>
      <c r="BK47" s="6"/>
      <c r="BL47" s="185"/>
    </row>
    <row r="48" spans="1:64" ht="15.75" x14ac:dyDescent="0.2">
      <c r="A48" s="15" t="s">
        <v>33</v>
      </c>
      <c r="B48" s="123" t="s">
        <v>16</v>
      </c>
      <c r="C48" s="50"/>
      <c r="D48" s="39">
        <v>4</v>
      </c>
      <c r="E48" s="51"/>
      <c r="F48" s="476">
        <f t="shared" si="45"/>
        <v>75</v>
      </c>
      <c r="G48" s="53">
        <v>6</v>
      </c>
      <c r="H48" s="220">
        <v>69</v>
      </c>
      <c r="I48" s="12"/>
      <c r="J48" s="12"/>
      <c r="K48" s="12"/>
      <c r="L48" s="184">
        <f t="shared" si="46"/>
        <v>69</v>
      </c>
      <c r="M48" s="12"/>
      <c r="N48" s="12"/>
      <c r="O48" s="12"/>
      <c r="P48" s="75"/>
      <c r="Q48" s="164"/>
      <c r="R48" s="39"/>
      <c r="S48" s="39"/>
      <c r="T48" s="39"/>
      <c r="U48" s="39"/>
      <c r="V48" s="192"/>
      <c r="W48" s="164"/>
      <c r="X48" s="39"/>
      <c r="Y48" s="39"/>
      <c r="Z48" s="39"/>
      <c r="AA48" s="39"/>
      <c r="AB48" s="200"/>
      <c r="AC48" s="161"/>
      <c r="AD48" s="39"/>
      <c r="AE48" s="39"/>
      <c r="AF48" s="39"/>
      <c r="AG48" s="39"/>
      <c r="AH48" s="192"/>
      <c r="AI48" s="164">
        <v>75</v>
      </c>
      <c r="AJ48" s="39">
        <v>6</v>
      </c>
      <c r="AK48" s="39"/>
      <c r="AL48" s="39"/>
      <c r="AM48" s="39"/>
      <c r="AN48" s="200">
        <v>69</v>
      </c>
      <c r="AO48" s="176"/>
      <c r="AP48" s="39"/>
      <c r="AQ48" s="39"/>
      <c r="AR48" s="39"/>
      <c r="AS48" s="39"/>
      <c r="AT48" s="192"/>
      <c r="AU48" s="176"/>
      <c r="AV48" s="39"/>
      <c r="AW48" s="39"/>
      <c r="AX48" s="39"/>
      <c r="AY48" s="39"/>
      <c r="AZ48" s="192"/>
      <c r="BA48" s="164"/>
      <c r="BB48" s="39"/>
      <c r="BC48" s="39"/>
      <c r="BD48" s="39"/>
      <c r="BE48" s="39"/>
      <c r="BF48" s="192"/>
      <c r="BG48" s="164"/>
      <c r="BH48" s="39"/>
      <c r="BI48" s="39"/>
      <c r="BJ48" s="39"/>
      <c r="BK48" s="39"/>
      <c r="BL48" s="184"/>
    </row>
    <row r="49" spans="1:65" ht="15.75" x14ac:dyDescent="0.2">
      <c r="A49" s="15" t="s">
        <v>34</v>
      </c>
      <c r="B49" s="123" t="s">
        <v>250</v>
      </c>
      <c r="C49" s="50"/>
      <c r="D49" s="39">
        <v>6</v>
      </c>
      <c r="E49" s="51"/>
      <c r="F49" s="476">
        <f t="shared" si="45"/>
        <v>86</v>
      </c>
      <c r="G49" s="53"/>
      <c r="H49" s="220">
        <v>86</v>
      </c>
      <c r="I49" s="12"/>
      <c r="J49" s="12"/>
      <c r="K49" s="12"/>
      <c r="L49" s="184">
        <f t="shared" si="46"/>
        <v>86</v>
      </c>
      <c r="M49" s="12"/>
      <c r="N49" s="12"/>
      <c r="O49" s="12"/>
      <c r="P49" s="75"/>
      <c r="Q49" s="164"/>
      <c r="R49" s="39"/>
      <c r="S49" s="39"/>
      <c r="T49" s="6"/>
      <c r="U49" s="39"/>
      <c r="V49" s="192"/>
      <c r="W49" s="164"/>
      <c r="X49" s="39"/>
      <c r="Y49" s="39"/>
      <c r="Z49" s="39"/>
      <c r="AA49" s="39"/>
      <c r="AB49" s="200"/>
      <c r="AC49" s="161"/>
      <c r="AD49" s="39"/>
      <c r="AE49" s="39"/>
      <c r="AF49" s="39"/>
      <c r="AG49" s="39"/>
      <c r="AH49" s="192"/>
      <c r="AI49" s="164"/>
      <c r="AJ49" s="39"/>
      <c r="AK49" s="39"/>
      <c r="AL49" s="39"/>
      <c r="AM49" s="39"/>
      <c r="AN49" s="200"/>
      <c r="AO49" s="178">
        <v>26</v>
      </c>
      <c r="AP49" s="39"/>
      <c r="AQ49" s="39"/>
      <c r="AR49" s="39"/>
      <c r="AS49" s="39"/>
      <c r="AT49" s="192">
        <v>26</v>
      </c>
      <c r="AU49" s="176">
        <v>60</v>
      </c>
      <c r="AV49" s="39"/>
      <c r="AW49" s="39"/>
      <c r="AX49" s="39"/>
      <c r="AY49" s="39"/>
      <c r="AZ49" s="192">
        <v>60</v>
      </c>
      <c r="BA49" s="164"/>
      <c r="BB49" s="39"/>
      <c r="BC49" s="39"/>
      <c r="BD49" s="39"/>
      <c r="BE49" s="39"/>
      <c r="BF49" s="192"/>
      <c r="BG49" s="164"/>
      <c r="BH49" s="39"/>
      <c r="BI49" s="39"/>
      <c r="BJ49" s="39"/>
      <c r="BK49" s="39"/>
      <c r="BL49" s="184"/>
    </row>
    <row r="50" spans="1:65" ht="15.75" x14ac:dyDescent="0.2">
      <c r="A50" s="15" t="s">
        <v>35</v>
      </c>
      <c r="B50" s="71" t="s">
        <v>251</v>
      </c>
      <c r="C50" s="73"/>
      <c r="D50" s="10">
        <v>4</v>
      </c>
      <c r="E50" s="61"/>
      <c r="F50" s="476">
        <f t="shared" si="45"/>
        <v>59</v>
      </c>
      <c r="G50" s="53"/>
      <c r="H50" s="220">
        <v>59</v>
      </c>
      <c r="I50" s="12"/>
      <c r="J50" s="12"/>
      <c r="K50" s="12"/>
      <c r="L50" s="184">
        <f t="shared" si="46"/>
        <v>59</v>
      </c>
      <c r="M50" s="12"/>
      <c r="N50" s="10"/>
      <c r="O50" s="10"/>
      <c r="P50" s="78"/>
      <c r="Q50" s="167"/>
      <c r="R50" s="6"/>
      <c r="S50" s="6"/>
      <c r="T50" s="6"/>
      <c r="U50" s="6"/>
      <c r="V50" s="193"/>
      <c r="W50" s="172"/>
      <c r="X50" s="70"/>
      <c r="Y50" s="70"/>
      <c r="Z50" s="70"/>
      <c r="AA50" s="70"/>
      <c r="AB50" s="617"/>
      <c r="AC50" s="161">
        <v>59</v>
      </c>
      <c r="AD50" s="6"/>
      <c r="AE50" s="6"/>
      <c r="AF50" s="6"/>
      <c r="AG50" s="6"/>
      <c r="AH50" s="193">
        <v>59</v>
      </c>
      <c r="AI50" s="175"/>
      <c r="AJ50" s="6"/>
      <c r="AK50" s="6"/>
      <c r="AL50" s="6"/>
      <c r="AM50" s="6"/>
      <c r="AN50" s="201"/>
      <c r="AO50" s="176"/>
      <c r="AP50" s="6"/>
      <c r="AQ50" s="6"/>
      <c r="AR50" s="6"/>
      <c r="AS50" s="6"/>
      <c r="AT50" s="193"/>
      <c r="AU50" s="176"/>
      <c r="AV50" s="6"/>
      <c r="AW50" s="6"/>
      <c r="AX50" s="6"/>
      <c r="AY50" s="6"/>
      <c r="AZ50" s="192"/>
      <c r="BA50" s="165"/>
      <c r="BB50" s="43"/>
      <c r="BC50" s="43"/>
      <c r="BD50" s="43"/>
      <c r="BE50" s="43"/>
      <c r="BF50" s="194"/>
      <c r="BG50" s="165"/>
      <c r="BH50" s="43"/>
      <c r="BI50" s="43"/>
      <c r="BJ50" s="43"/>
      <c r="BK50" s="43"/>
      <c r="BL50" s="431"/>
    </row>
    <row r="51" spans="1:65" ht="31.5" x14ac:dyDescent="0.2">
      <c r="A51" s="15" t="s">
        <v>36</v>
      </c>
      <c r="B51" s="411" t="s">
        <v>252</v>
      </c>
      <c r="C51" s="74"/>
      <c r="D51" s="42">
        <v>4</v>
      </c>
      <c r="E51" s="68"/>
      <c r="F51" s="476">
        <f t="shared" si="45"/>
        <v>53</v>
      </c>
      <c r="G51" s="52">
        <v>7</v>
      </c>
      <c r="H51" s="220">
        <v>46</v>
      </c>
      <c r="I51" s="38"/>
      <c r="J51" s="38"/>
      <c r="K51" s="38"/>
      <c r="L51" s="184">
        <f t="shared" si="46"/>
        <v>46</v>
      </c>
      <c r="M51" s="38"/>
      <c r="N51" s="42"/>
      <c r="O51" s="42"/>
      <c r="P51" s="223"/>
      <c r="Q51" s="168"/>
      <c r="R51" s="109"/>
      <c r="S51" s="109"/>
      <c r="T51" s="109"/>
      <c r="U51" s="109"/>
      <c r="V51" s="194"/>
      <c r="W51" s="173"/>
      <c r="X51" s="69"/>
      <c r="Y51" s="69"/>
      <c r="Z51" s="69"/>
      <c r="AA51" s="69"/>
      <c r="AB51" s="618"/>
      <c r="AC51" s="161"/>
      <c r="AD51" s="145"/>
      <c r="AE51" s="145"/>
      <c r="AF51" s="145"/>
      <c r="AG51" s="145"/>
      <c r="AH51" s="199"/>
      <c r="AI51" s="175">
        <v>53</v>
      </c>
      <c r="AJ51" s="43">
        <v>7</v>
      </c>
      <c r="AK51" s="145"/>
      <c r="AL51" s="145"/>
      <c r="AM51" s="145"/>
      <c r="AN51" s="202">
        <v>46</v>
      </c>
      <c r="AO51" s="177"/>
      <c r="AP51" s="145"/>
      <c r="AQ51" s="145"/>
      <c r="AR51" s="145"/>
      <c r="AS51" s="145"/>
      <c r="AT51" s="194"/>
      <c r="AU51" s="177"/>
      <c r="AV51" s="43"/>
      <c r="AW51" s="43"/>
      <c r="AX51" s="43"/>
      <c r="AY51" s="43"/>
      <c r="AZ51" s="202"/>
      <c r="BA51" s="416"/>
      <c r="BB51" s="416"/>
      <c r="BC51" s="416"/>
      <c r="BD51" s="416"/>
      <c r="BE51" s="416"/>
      <c r="BF51" s="416"/>
      <c r="BG51" s="416"/>
      <c r="BH51" s="416"/>
      <c r="BI51" s="416"/>
      <c r="BJ51" s="416"/>
      <c r="BK51" s="416"/>
      <c r="BL51" s="416"/>
    </row>
    <row r="52" spans="1:65" ht="15.75" x14ac:dyDescent="0.2">
      <c r="A52" s="15" t="s">
        <v>45</v>
      </c>
      <c r="B52" s="123" t="s">
        <v>253</v>
      </c>
      <c r="C52" s="60"/>
      <c r="D52" s="6">
        <v>4</v>
      </c>
      <c r="E52" s="61"/>
      <c r="F52" s="476">
        <f t="shared" si="45"/>
        <v>75</v>
      </c>
      <c r="G52" s="89">
        <v>6</v>
      </c>
      <c r="H52" s="220">
        <v>69</v>
      </c>
      <c r="I52" s="10"/>
      <c r="J52" s="10"/>
      <c r="K52" s="10"/>
      <c r="L52" s="184">
        <f t="shared" si="46"/>
        <v>69</v>
      </c>
      <c r="M52" s="10"/>
      <c r="N52" s="10"/>
      <c r="O52" s="10"/>
      <c r="P52" s="78"/>
      <c r="Q52" s="167"/>
      <c r="R52" s="6"/>
      <c r="S52" s="6"/>
      <c r="T52" s="6"/>
      <c r="U52" s="6"/>
      <c r="V52" s="193"/>
      <c r="W52" s="167"/>
      <c r="X52" s="6"/>
      <c r="Y52" s="6"/>
      <c r="Z52" s="6"/>
      <c r="AA52" s="6"/>
      <c r="AB52" s="201"/>
      <c r="AC52" s="178"/>
      <c r="AD52" s="6"/>
      <c r="AE52" s="6"/>
      <c r="AF52" s="6"/>
      <c r="AG52" s="6"/>
      <c r="AH52" s="193"/>
      <c r="AI52" s="175">
        <v>75</v>
      </c>
      <c r="AJ52" s="6">
        <v>6</v>
      </c>
      <c r="AK52" s="6"/>
      <c r="AL52" s="6"/>
      <c r="AM52" s="6"/>
      <c r="AN52" s="201">
        <v>69</v>
      </c>
      <c r="AO52" s="178"/>
      <c r="AP52" s="6"/>
      <c r="AQ52" s="6"/>
      <c r="AR52" s="6"/>
      <c r="AS52" s="6"/>
      <c r="AT52" s="193"/>
      <c r="AU52" s="178"/>
      <c r="AV52" s="6"/>
      <c r="AW52" s="6"/>
      <c r="AX52" s="6"/>
      <c r="AY52" s="6"/>
      <c r="AZ52" s="201"/>
      <c r="BA52" s="416"/>
      <c r="BB52" s="416"/>
      <c r="BC52" s="416"/>
      <c r="BD52" s="416"/>
      <c r="BE52" s="416"/>
      <c r="BF52" s="416"/>
      <c r="BG52" s="416"/>
      <c r="BH52" s="416"/>
      <c r="BI52" s="416"/>
      <c r="BJ52" s="416"/>
      <c r="BK52" s="416"/>
      <c r="BL52" s="416"/>
    </row>
    <row r="53" spans="1:65" ht="15.75" x14ac:dyDescent="0.2">
      <c r="A53" s="15" t="s">
        <v>46</v>
      </c>
      <c r="B53" s="125" t="s">
        <v>254</v>
      </c>
      <c r="C53" s="50"/>
      <c r="D53" s="39">
        <v>5</v>
      </c>
      <c r="E53" s="51"/>
      <c r="F53" s="476">
        <f t="shared" si="45"/>
        <v>104</v>
      </c>
      <c r="G53" s="53">
        <v>6</v>
      </c>
      <c r="H53" s="220">
        <v>98</v>
      </c>
      <c r="I53" s="12"/>
      <c r="J53" s="12"/>
      <c r="K53" s="12"/>
      <c r="L53" s="184">
        <f t="shared" si="46"/>
        <v>98</v>
      </c>
      <c r="M53" s="12"/>
      <c r="N53" s="12"/>
      <c r="O53" s="12"/>
      <c r="P53" s="75"/>
      <c r="Q53" s="164"/>
      <c r="R53" s="39"/>
      <c r="S53" s="39"/>
      <c r="T53" s="39"/>
      <c r="U53" s="39"/>
      <c r="V53" s="192"/>
      <c r="W53" s="164"/>
      <c r="X53" s="39"/>
      <c r="Y53" s="39"/>
      <c r="Z53" s="39"/>
      <c r="AA53" s="39"/>
      <c r="AB53" s="200"/>
      <c r="AC53" s="176"/>
      <c r="AD53" s="39"/>
      <c r="AE53" s="39"/>
      <c r="AF53" s="39"/>
      <c r="AG53" s="39"/>
      <c r="AH53" s="192"/>
      <c r="AI53" s="175">
        <v>52</v>
      </c>
      <c r="AJ53" s="39">
        <v>6</v>
      </c>
      <c r="AK53" s="39"/>
      <c r="AL53" s="39"/>
      <c r="AM53" s="39"/>
      <c r="AN53" s="200">
        <v>46</v>
      </c>
      <c r="AO53" s="176">
        <v>52</v>
      </c>
      <c r="AP53" s="39"/>
      <c r="AQ53" s="39"/>
      <c r="AR53" s="39"/>
      <c r="AS53" s="39"/>
      <c r="AT53" s="192">
        <v>52</v>
      </c>
      <c r="AU53" s="176"/>
      <c r="AV53" s="39"/>
      <c r="AW53" s="39"/>
      <c r="AX53" s="39"/>
      <c r="AY53" s="39"/>
      <c r="AZ53" s="192"/>
      <c r="BA53" s="176"/>
      <c r="BB53" s="39"/>
      <c r="BC53" s="39"/>
      <c r="BD53" s="39"/>
      <c r="BE53" s="39"/>
      <c r="BF53" s="192"/>
      <c r="BG53" s="164"/>
      <c r="BH53" s="39"/>
      <c r="BI53" s="39"/>
      <c r="BJ53" s="39"/>
      <c r="BK53" s="39"/>
      <c r="BL53" s="192"/>
    </row>
    <row r="54" spans="1:65" ht="19.5" customHeight="1" thickBot="1" x14ac:dyDescent="0.25">
      <c r="A54" s="15" t="s">
        <v>245</v>
      </c>
      <c r="B54" s="118" t="s">
        <v>255</v>
      </c>
      <c r="C54" s="50"/>
      <c r="D54" s="39">
        <v>8</v>
      </c>
      <c r="E54" s="51"/>
      <c r="F54" s="476">
        <f t="shared" si="45"/>
        <v>42</v>
      </c>
      <c r="G54" s="53"/>
      <c r="H54" s="220">
        <v>42</v>
      </c>
      <c r="I54" s="12"/>
      <c r="J54" s="12"/>
      <c r="K54" s="12"/>
      <c r="L54" s="184">
        <f t="shared" si="46"/>
        <v>42</v>
      </c>
      <c r="M54" s="12"/>
      <c r="N54" s="12"/>
      <c r="O54" s="12"/>
      <c r="P54" s="75"/>
      <c r="Q54" s="164"/>
      <c r="R54" s="39"/>
      <c r="S54" s="39"/>
      <c r="T54" s="39"/>
      <c r="U54" s="39"/>
      <c r="V54" s="192"/>
      <c r="W54" s="164"/>
      <c r="X54" s="39"/>
      <c r="Y54" s="39"/>
      <c r="Z54" s="39"/>
      <c r="AA54" s="39"/>
      <c r="AB54" s="200"/>
      <c r="AC54" s="620"/>
      <c r="AD54" s="342"/>
      <c r="AE54" s="342"/>
      <c r="AF54" s="342"/>
      <c r="AG54" s="342"/>
      <c r="AH54" s="621"/>
      <c r="AI54" s="175"/>
      <c r="AJ54" s="39"/>
      <c r="AK54" s="39"/>
      <c r="AL54" s="39"/>
      <c r="AM54" s="39"/>
      <c r="AN54" s="200"/>
      <c r="AO54" s="176"/>
      <c r="AP54" s="39"/>
      <c r="AQ54" s="39"/>
      <c r="AR54" s="39"/>
      <c r="AS54" s="39"/>
      <c r="AT54" s="192"/>
      <c r="AU54" s="176"/>
      <c r="AV54" s="39"/>
      <c r="AW54" s="39"/>
      <c r="AX54" s="39"/>
      <c r="AY54" s="39"/>
      <c r="AZ54" s="192"/>
      <c r="BA54" s="164"/>
      <c r="BB54" s="39"/>
      <c r="BC54" s="39"/>
      <c r="BD54" s="39"/>
      <c r="BE54" s="39"/>
      <c r="BF54" s="192"/>
      <c r="BG54" s="164">
        <v>42</v>
      </c>
      <c r="BH54" s="39"/>
      <c r="BI54" s="39"/>
      <c r="BJ54" s="39"/>
      <c r="BK54" s="39"/>
      <c r="BL54" s="192">
        <v>42</v>
      </c>
    </row>
    <row r="55" spans="1:65" ht="15.75" hidden="1" x14ac:dyDescent="0.2">
      <c r="A55" s="15"/>
      <c r="B55" s="515"/>
      <c r="C55" s="50"/>
      <c r="D55" s="39"/>
      <c r="E55" s="51"/>
      <c r="F55" s="476"/>
      <c r="G55" s="53"/>
      <c r="H55" s="220"/>
      <c r="I55" s="12"/>
      <c r="J55" s="12"/>
      <c r="K55" s="12"/>
      <c r="L55" s="184"/>
      <c r="M55" s="12"/>
      <c r="N55" s="12"/>
      <c r="O55" s="12"/>
      <c r="P55" s="75"/>
      <c r="Q55" s="164"/>
      <c r="R55" s="39"/>
      <c r="S55" s="39"/>
      <c r="T55" s="39"/>
      <c r="U55" s="39"/>
      <c r="V55" s="192"/>
      <c r="W55" s="164"/>
      <c r="X55" s="39"/>
      <c r="Y55" s="39"/>
      <c r="Z55" s="39"/>
      <c r="AA55" s="39"/>
      <c r="AB55" s="184"/>
      <c r="AC55" s="176"/>
      <c r="AD55" s="39"/>
      <c r="AE55" s="39"/>
      <c r="AF55" s="39"/>
      <c r="AG55" s="39"/>
      <c r="AH55" s="192"/>
      <c r="AI55" s="164"/>
      <c r="AJ55" s="39"/>
      <c r="AK55" s="39"/>
      <c r="AL55" s="39"/>
      <c r="AM55" s="39"/>
      <c r="AN55" s="200"/>
      <c r="AO55" s="176"/>
      <c r="AP55" s="39"/>
      <c r="AQ55" s="39"/>
      <c r="AR55" s="39"/>
      <c r="AS55" s="39"/>
      <c r="AT55" s="192"/>
      <c r="AU55" s="176"/>
      <c r="AV55" s="39"/>
      <c r="AW55" s="39"/>
      <c r="AX55" s="39"/>
      <c r="AY55" s="39"/>
      <c r="AZ55" s="192"/>
      <c r="BA55" s="164"/>
      <c r="BB55" s="39"/>
      <c r="BC55" s="39"/>
      <c r="BD55" s="39"/>
      <c r="BE55" s="39"/>
      <c r="BF55" s="192"/>
      <c r="BG55" s="164"/>
      <c r="BH55" s="39"/>
      <c r="BI55" s="39"/>
      <c r="BJ55" s="39"/>
      <c r="BK55" s="39"/>
      <c r="BL55" s="192"/>
    </row>
    <row r="56" spans="1:65" ht="20.25" hidden="1" customHeight="1" thickBot="1" x14ac:dyDescent="0.25">
      <c r="A56" s="15"/>
      <c r="B56" s="72"/>
      <c r="C56" s="50"/>
      <c r="D56" s="39"/>
      <c r="E56" s="51"/>
      <c r="F56" s="157"/>
      <c r="G56" s="53"/>
      <c r="H56" s="220"/>
      <c r="I56" s="38"/>
      <c r="J56" s="38"/>
      <c r="K56" s="38"/>
      <c r="L56" s="487"/>
      <c r="M56" s="38"/>
      <c r="N56" s="38"/>
      <c r="O56" s="38"/>
      <c r="P56" s="536"/>
      <c r="Q56" s="165"/>
      <c r="R56" s="43"/>
      <c r="S56" s="43"/>
      <c r="T56" s="43"/>
      <c r="U56" s="43"/>
      <c r="V56" s="194"/>
      <c r="W56" s="165"/>
      <c r="X56" s="43"/>
      <c r="Y56" s="43"/>
      <c r="Z56" s="43"/>
      <c r="AA56" s="43"/>
      <c r="AB56" s="431"/>
      <c r="AC56" s="177"/>
      <c r="AD56" s="109"/>
      <c r="AE56" s="109"/>
      <c r="AF56" s="109"/>
      <c r="AG56" s="109"/>
      <c r="AH56" s="360"/>
      <c r="AI56" s="168"/>
      <c r="AJ56" s="109"/>
      <c r="AK56" s="109"/>
      <c r="AL56" s="109"/>
      <c r="AM56" s="109"/>
      <c r="AN56" s="361"/>
      <c r="AO56" s="177"/>
      <c r="AP56" s="109"/>
      <c r="AQ56" s="109"/>
      <c r="AR56" s="109"/>
      <c r="AS56" s="109"/>
      <c r="AT56" s="360"/>
      <c r="AU56" s="177"/>
      <c r="AV56" s="109"/>
      <c r="AW56" s="109"/>
      <c r="AX56" s="109"/>
      <c r="AY56" s="109"/>
      <c r="AZ56" s="360"/>
      <c r="BA56" s="165"/>
      <c r="BB56" s="43"/>
      <c r="BC56" s="43"/>
      <c r="BD56" s="43"/>
      <c r="BE56" s="43"/>
      <c r="BF56" s="194"/>
      <c r="BG56" s="165"/>
      <c r="BH56" s="43"/>
      <c r="BI56" s="43"/>
      <c r="BJ56" s="43"/>
      <c r="BK56" s="43"/>
      <c r="BL56" s="194"/>
    </row>
    <row r="57" spans="1:65" ht="18" customHeight="1" thickBot="1" x14ac:dyDescent="0.25">
      <c r="A57" s="82" t="s">
        <v>17</v>
      </c>
      <c r="B57" s="81" t="s">
        <v>63</v>
      </c>
      <c r="C57" s="48"/>
      <c r="D57" s="41"/>
      <c r="E57" s="49"/>
      <c r="F57" s="588">
        <f>SUM(F82+F67+F58+F75+F89)</f>
        <v>2304</v>
      </c>
      <c r="G57" s="588">
        <f t="shared" ref="G57:H57" si="47">SUM(G82+G67+G58+G75+G89)</f>
        <v>90</v>
      </c>
      <c r="H57" s="589">
        <f t="shared" si="47"/>
        <v>2214</v>
      </c>
      <c r="I57" s="593">
        <f t="shared" ref="I57:P57" si="48">SUM(I82+I67+I58+I88+I93)</f>
        <v>96</v>
      </c>
      <c r="J57" s="41">
        <f t="shared" si="48"/>
        <v>50</v>
      </c>
      <c r="K57" s="41">
        <f t="shared" si="48"/>
        <v>504</v>
      </c>
      <c r="L57" s="41">
        <f t="shared" si="48"/>
        <v>1020</v>
      </c>
      <c r="M57" s="41">
        <f t="shared" si="48"/>
        <v>92</v>
      </c>
      <c r="N57" s="41">
        <f t="shared" si="48"/>
        <v>96</v>
      </c>
      <c r="O57" s="41">
        <f t="shared" si="48"/>
        <v>96</v>
      </c>
      <c r="P57" s="41">
        <f t="shared" si="48"/>
        <v>40</v>
      </c>
      <c r="Q57" s="41">
        <f>SUM(Q82+Q67+Q58+Q93)</f>
        <v>0</v>
      </c>
      <c r="R57" s="41">
        <f>SUM(R82+R67+R58+R93)</f>
        <v>0</v>
      </c>
      <c r="S57" s="41">
        <f>SUM(S82+S67+S58+S93)</f>
        <v>0</v>
      </c>
      <c r="T57" s="41">
        <f>SUM(T82+T67+T58+T93)</f>
        <v>0</v>
      </c>
      <c r="U57" s="41">
        <f>SUM(U82+U67+U58+U93)</f>
        <v>0</v>
      </c>
      <c r="V57" s="41">
        <f t="shared" ref="V57:AG57" si="49">SUM(V82+V67+V58)</f>
        <v>0</v>
      </c>
      <c r="W57" s="41">
        <f t="shared" si="49"/>
        <v>0</v>
      </c>
      <c r="X57" s="41">
        <f t="shared" si="49"/>
        <v>0</v>
      </c>
      <c r="Y57" s="41">
        <f t="shared" si="49"/>
        <v>0</v>
      </c>
      <c r="Z57" s="41">
        <f t="shared" si="49"/>
        <v>0</v>
      </c>
      <c r="AA57" s="41">
        <f t="shared" si="49"/>
        <v>0</v>
      </c>
      <c r="AB57" s="41">
        <f t="shared" si="49"/>
        <v>0</v>
      </c>
      <c r="AC57" s="41">
        <f t="shared" si="49"/>
        <v>0</v>
      </c>
      <c r="AD57" s="41">
        <f t="shared" si="49"/>
        <v>0</v>
      </c>
      <c r="AE57" s="41">
        <f t="shared" si="49"/>
        <v>0</v>
      </c>
      <c r="AF57" s="41">
        <f t="shared" si="49"/>
        <v>0</v>
      </c>
      <c r="AG57" s="41">
        <f t="shared" si="49"/>
        <v>0</v>
      </c>
      <c r="AH57" s="41">
        <f>SUM(+AH58+AH67+AH82+AH88+AH93)</f>
        <v>0</v>
      </c>
      <c r="AI57" s="41">
        <f>SUM(AI58+AI67+AI75+AI82+AI89)</f>
        <v>216</v>
      </c>
      <c r="AJ57" s="41">
        <f t="shared" ref="AJ57:BL57" si="50">SUM(AJ58+AJ67+AJ75+AJ82+AJ89)</f>
        <v>10</v>
      </c>
      <c r="AK57" s="41">
        <f t="shared" si="50"/>
        <v>8</v>
      </c>
      <c r="AL57" s="41">
        <f t="shared" si="50"/>
        <v>10</v>
      </c>
      <c r="AM57" s="41">
        <f t="shared" si="50"/>
        <v>108</v>
      </c>
      <c r="AN57" s="41">
        <f t="shared" si="50"/>
        <v>80</v>
      </c>
      <c r="AO57" s="41">
        <f t="shared" si="50"/>
        <v>482</v>
      </c>
      <c r="AP57" s="41">
        <f t="shared" si="50"/>
        <v>16</v>
      </c>
      <c r="AQ57" s="41">
        <f t="shared" si="50"/>
        <v>16</v>
      </c>
      <c r="AR57" s="41">
        <f t="shared" si="50"/>
        <v>4</v>
      </c>
      <c r="AS57" s="41">
        <f t="shared" si="50"/>
        <v>108</v>
      </c>
      <c r="AT57" s="41">
        <f t="shared" si="50"/>
        <v>338</v>
      </c>
      <c r="AU57" s="41">
        <f>SUM(AU58+AU67+AU75+AU82+AU89)</f>
        <v>660</v>
      </c>
      <c r="AV57" s="41">
        <f t="shared" si="50"/>
        <v>26</v>
      </c>
      <c r="AW57" s="41">
        <f t="shared" si="50"/>
        <v>24</v>
      </c>
      <c r="AX57" s="41">
        <f t="shared" si="50"/>
        <v>6</v>
      </c>
      <c r="AY57" s="41">
        <f t="shared" si="50"/>
        <v>144</v>
      </c>
      <c r="AZ57" s="41">
        <f t="shared" si="50"/>
        <v>460</v>
      </c>
      <c r="BA57" s="41">
        <f t="shared" si="50"/>
        <v>512</v>
      </c>
      <c r="BB57" s="41">
        <f t="shared" si="50"/>
        <v>24</v>
      </c>
      <c r="BC57" s="41">
        <f t="shared" si="50"/>
        <v>16</v>
      </c>
      <c r="BD57" s="41">
        <f t="shared" si="50"/>
        <v>16</v>
      </c>
      <c r="BE57" s="41">
        <f t="shared" si="50"/>
        <v>216</v>
      </c>
      <c r="BF57" s="41">
        <f t="shared" si="50"/>
        <v>240</v>
      </c>
      <c r="BG57" s="41">
        <f t="shared" si="50"/>
        <v>434</v>
      </c>
      <c r="BH57" s="41">
        <f t="shared" si="50"/>
        <v>14</v>
      </c>
      <c r="BI57" s="41">
        <f t="shared" si="50"/>
        <v>16</v>
      </c>
      <c r="BJ57" s="41">
        <f t="shared" si="50"/>
        <v>20</v>
      </c>
      <c r="BK57" s="41">
        <f t="shared" si="50"/>
        <v>216</v>
      </c>
      <c r="BL57" s="594">
        <f t="shared" si="50"/>
        <v>168</v>
      </c>
    </row>
    <row r="58" spans="1:65" ht="33.75" thickBot="1" x14ac:dyDescent="0.25">
      <c r="A58" s="414" t="s">
        <v>18</v>
      </c>
      <c r="B58" s="491" t="s">
        <v>260</v>
      </c>
      <c r="C58" s="492" t="s">
        <v>307</v>
      </c>
      <c r="D58" s="493">
        <v>1</v>
      </c>
      <c r="E58" s="494"/>
      <c r="F58" s="414">
        <f>SUM(F59:F66)</f>
        <v>994</v>
      </c>
      <c r="G58" s="414">
        <f>SUM(G59:G66)</f>
        <v>34</v>
      </c>
      <c r="H58" s="582">
        <f>SUM(H59:H66)</f>
        <v>960</v>
      </c>
      <c r="I58" s="590">
        <f>SUM(I59:I66)</f>
        <v>32</v>
      </c>
      <c r="J58" s="373">
        <v>10</v>
      </c>
      <c r="K58" s="373">
        <f t="shared" ref="K58:AN58" si="51">SUM(K59:K66)</f>
        <v>216</v>
      </c>
      <c r="L58" s="373">
        <f>SUM(L59:L66)</f>
        <v>684</v>
      </c>
      <c r="M58" s="373">
        <f t="shared" si="51"/>
        <v>0</v>
      </c>
      <c r="N58" s="373">
        <f t="shared" si="51"/>
        <v>0</v>
      </c>
      <c r="O58" s="373">
        <f t="shared" si="51"/>
        <v>0</v>
      </c>
      <c r="P58" s="373">
        <f t="shared" si="51"/>
        <v>20</v>
      </c>
      <c r="Q58" s="373">
        <f t="shared" si="51"/>
        <v>0</v>
      </c>
      <c r="R58" s="373">
        <f t="shared" si="51"/>
        <v>0</v>
      </c>
      <c r="S58" s="373">
        <f t="shared" si="51"/>
        <v>0</v>
      </c>
      <c r="T58" s="373">
        <f t="shared" si="51"/>
        <v>0</v>
      </c>
      <c r="U58" s="373">
        <f t="shared" si="51"/>
        <v>0</v>
      </c>
      <c r="V58" s="373">
        <f t="shared" si="51"/>
        <v>0</v>
      </c>
      <c r="W58" s="373">
        <f t="shared" si="51"/>
        <v>0</v>
      </c>
      <c r="X58" s="373">
        <f t="shared" si="51"/>
        <v>0</v>
      </c>
      <c r="Y58" s="373">
        <f t="shared" si="51"/>
        <v>0</v>
      </c>
      <c r="Z58" s="373">
        <f t="shared" si="51"/>
        <v>0</v>
      </c>
      <c r="AA58" s="373">
        <f t="shared" si="51"/>
        <v>0</v>
      </c>
      <c r="AB58" s="373">
        <f t="shared" si="51"/>
        <v>0</v>
      </c>
      <c r="AC58" s="373">
        <f t="shared" si="51"/>
        <v>0</v>
      </c>
      <c r="AD58" s="373">
        <f t="shared" si="51"/>
        <v>0</v>
      </c>
      <c r="AE58" s="373">
        <f t="shared" si="51"/>
        <v>0</v>
      </c>
      <c r="AF58" s="373">
        <f t="shared" si="51"/>
        <v>0</v>
      </c>
      <c r="AG58" s="373">
        <f t="shared" si="51"/>
        <v>0</v>
      </c>
      <c r="AH58" s="373">
        <f t="shared" si="51"/>
        <v>0</v>
      </c>
      <c r="AI58" s="373">
        <f t="shared" si="51"/>
        <v>0</v>
      </c>
      <c r="AJ58" s="373">
        <f t="shared" si="51"/>
        <v>0</v>
      </c>
      <c r="AK58" s="373">
        <f t="shared" si="51"/>
        <v>0</v>
      </c>
      <c r="AL58" s="373">
        <f t="shared" si="51"/>
        <v>0</v>
      </c>
      <c r="AM58" s="373">
        <f t="shared" si="51"/>
        <v>0</v>
      </c>
      <c r="AN58" s="373">
        <f t="shared" si="51"/>
        <v>0</v>
      </c>
      <c r="AO58" s="373">
        <f>SUM(AO59:AO66)</f>
        <v>104</v>
      </c>
      <c r="AP58" s="373">
        <f t="shared" ref="AP58:BL58" si="52">SUM(AP59:AP66)</f>
        <v>0</v>
      </c>
      <c r="AQ58" s="373">
        <f t="shared" si="52"/>
        <v>0</v>
      </c>
      <c r="AR58" s="373">
        <f t="shared" si="52"/>
        <v>0</v>
      </c>
      <c r="AS58" s="373">
        <f t="shared" si="52"/>
        <v>0</v>
      </c>
      <c r="AT58" s="373">
        <f t="shared" si="52"/>
        <v>104</v>
      </c>
      <c r="AU58" s="373">
        <f t="shared" si="52"/>
        <v>256</v>
      </c>
      <c r="AV58" s="373">
        <f t="shared" si="52"/>
        <v>6</v>
      </c>
      <c r="AW58" s="373">
        <f t="shared" si="52"/>
        <v>8</v>
      </c>
      <c r="AX58" s="373">
        <f t="shared" si="52"/>
        <v>2</v>
      </c>
      <c r="AY58" s="373">
        <f t="shared" si="52"/>
        <v>0</v>
      </c>
      <c r="AZ58" s="373">
        <f>SUM(AZ59:AZ66)</f>
        <v>240</v>
      </c>
      <c r="BA58" s="373">
        <f>SUM(BA59:BA66)</f>
        <v>394</v>
      </c>
      <c r="BB58" s="373">
        <f t="shared" ref="BB58:BF58" si="53">SUM(BB59:BB66)</f>
        <v>18</v>
      </c>
      <c r="BC58" s="373">
        <f t="shared" si="53"/>
        <v>16</v>
      </c>
      <c r="BD58" s="373">
        <f t="shared" si="53"/>
        <v>16</v>
      </c>
      <c r="BE58" s="373">
        <f t="shared" si="53"/>
        <v>144</v>
      </c>
      <c r="BF58" s="373">
        <f t="shared" si="53"/>
        <v>200</v>
      </c>
      <c r="BG58" s="373">
        <f t="shared" si="52"/>
        <v>240</v>
      </c>
      <c r="BH58" s="373">
        <f t="shared" si="52"/>
        <v>10</v>
      </c>
      <c r="BI58" s="373">
        <f t="shared" si="52"/>
        <v>8</v>
      </c>
      <c r="BJ58" s="373">
        <f t="shared" si="52"/>
        <v>10</v>
      </c>
      <c r="BK58" s="591">
        <f t="shared" si="52"/>
        <v>72</v>
      </c>
      <c r="BL58" s="592">
        <f t="shared" si="52"/>
        <v>140</v>
      </c>
    </row>
    <row r="59" spans="1:65" ht="15.75" x14ac:dyDescent="0.2">
      <c r="A59" s="43" t="s">
        <v>19</v>
      </c>
      <c r="B59" s="413" t="s">
        <v>256</v>
      </c>
      <c r="C59" s="11">
        <v>6</v>
      </c>
      <c r="D59" s="18">
        <v>5</v>
      </c>
      <c r="E59" s="95"/>
      <c r="F59" s="475">
        <f t="shared" ref="F59:F66" si="54">SUM(G59:H59)</f>
        <v>280</v>
      </c>
      <c r="G59" s="89">
        <v>6</v>
      </c>
      <c r="H59" s="221">
        <v>274</v>
      </c>
      <c r="I59" s="12">
        <v>8</v>
      </c>
      <c r="J59" s="12">
        <v>2</v>
      </c>
      <c r="K59" s="12"/>
      <c r="L59" s="184">
        <f>SUM(AT59+AZ59+BF59+BL59)</f>
        <v>264</v>
      </c>
      <c r="M59" s="12"/>
      <c r="N59" s="12"/>
      <c r="O59" s="12"/>
      <c r="P59" s="12">
        <v>20</v>
      </c>
      <c r="Q59" s="457"/>
      <c r="R59" s="39"/>
      <c r="S59" s="39"/>
      <c r="T59" s="39"/>
      <c r="U59" s="39"/>
      <c r="V59" s="184"/>
      <c r="W59" s="457"/>
      <c r="X59" s="109"/>
      <c r="Y59" s="109"/>
      <c r="Z59" s="109"/>
      <c r="AA59" s="109"/>
      <c r="AB59" s="360"/>
      <c r="AC59" s="177"/>
      <c r="AD59" s="109"/>
      <c r="AE59" s="109"/>
      <c r="AF59" s="109"/>
      <c r="AG59" s="109"/>
      <c r="AH59" s="360"/>
      <c r="AI59" s="168"/>
      <c r="AJ59" s="109"/>
      <c r="AK59" s="109"/>
      <c r="AL59" s="109"/>
      <c r="AM59" s="109"/>
      <c r="AN59" s="361"/>
      <c r="AO59" s="624">
        <v>104</v>
      </c>
      <c r="AP59" s="625"/>
      <c r="AQ59" s="625"/>
      <c r="AR59" s="625"/>
      <c r="AS59" s="625"/>
      <c r="AT59" s="626">
        <v>104</v>
      </c>
      <c r="AU59" s="624">
        <v>176</v>
      </c>
      <c r="AV59" s="625">
        <v>6</v>
      </c>
      <c r="AW59" s="625">
        <v>8</v>
      </c>
      <c r="AX59" s="625">
        <v>2</v>
      </c>
      <c r="AY59" s="625"/>
      <c r="AZ59" s="626">
        <v>160</v>
      </c>
      <c r="BA59" s="168"/>
      <c r="BB59" s="109"/>
      <c r="BC59" s="109"/>
      <c r="BD59" s="109"/>
      <c r="BE59" s="109"/>
      <c r="BF59" s="360"/>
      <c r="BG59" s="168"/>
      <c r="BH59" s="109"/>
      <c r="BI59" s="109"/>
      <c r="BJ59" s="109"/>
      <c r="BK59" s="109"/>
      <c r="BL59" s="360"/>
    </row>
    <row r="60" spans="1:65" ht="31.5" x14ac:dyDescent="0.2">
      <c r="A60" s="43" t="s">
        <v>294</v>
      </c>
      <c r="B60" s="413" t="s">
        <v>257</v>
      </c>
      <c r="C60" s="11">
        <v>7</v>
      </c>
      <c r="D60" s="18">
        <v>6</v>
      </c>
      <c r="E60" s="95"/>
      <c r="F60" s="476">
        <f t="shared" si="54"/>
        <v>146</v>
      </c>
      <c r="G60" s="89">
        <v>10</v>
      </c>
      <c r="H60" s="221">
        <v>136</v>
      </c>
      <c r="I60" s="10">
        <v>8</v>
      </c>
      <c r="J60" s="10">
        <v>8</v>
      </c>
      <c r="K60" s="10"/>
      <c r="L60" s="185">
        <f t="shared" ref="L60:L66" si="55">SUM(AT60+AZ60+BF60+BL60)</f>
        <v>120</v>
      </c>
      <c r="M60" s="10"/>
      <c r="N60" s="10"/>
      <c r="O60" s="10"/>
      <c r="P60" s="10"/>
      <c r="Q60" s="345"/>
      <c r="R60" s="6"/>
      <c r="S60" s="6"/>
      <c r="T60" s="6"/>
      <c r="U60" s="6"/>
      <c r="V60" s="185"/>
      <c r="W60" s="345"/>
      <c r="X60" s="6"/>
      <c r="Y60" s="6"/>
      <c r="Z60" s="6"/>
      <c r="AA60" s="6"/>
      <c r="AB60" s="185"/>
      <c r="AC60" s="345"/>
      <c r="AD60" s="6"/>
      <c r="AE60" s="6"/>
      <c r="AF60" s="6"/>
      <c r="AG60" s="6"/>
      <c r="AH60" s="185"/>
      <c r="AI60" s="345"/>
      <c r="AJ60" s="6"/>
      <c r="AK60" s="6"/>
      <c r="AL60" s="6"/>
      <c r="AM60" s="6"/>
      <c r="AN60" s="201"/>
      <c r="AO60" s="178"/>
      <c r="AP60" s="6"/>
      <c r="AQ60" s="6"/>
      <c r="AR60" s="6"/>
      <c r="AS60" s="6"/>
      <c r="AT60" s="193"/>
      <c r="AU60" s="178">
        <v>40</v>
      </c>
      <c r="AV60" s="6"/>
      <c r="AW60" s="6"/>
      <c r="AX60" s="6"/>
      <c r="AY60" s="6"/>
      <c r="AZ60" s="193">
        <v>40</v>
      </c>
      <c r="BA60" s="622">
        <v>106</v>
      </c>
      <c r="BB60" s="6">
        <v>10</v>
      </c>
      <c r="BC60" s="6">
        <v>8</v>
      </c>
      <c r="BD60" s="6">
        <v>8</v>
      </c>
      <c r="BE60" s="6"/>
      <c r="BF60" s="185">
        <v>80</v>
      </c>
      <c r="BG60" s="345"/>
      <c r="BH60" s="6"/>
      <c r="BI60" s="6"/>
      <c r="BJ60" s="6"/>
      <c r="BK60" s="6"/>
      <c r="BL60" s="185"/>
    </row>
    <row r="61" spans="1:65" s="363" customFormat="1" ht="15.75" x14ac:dyDescent="0.2">
      <c r="A61" s="6" t="s">
        <v>295</v>
      </c>
      <c r="B61" s="412" t="s">
        <v>258</v>
      </c>
      <c r="C61" s="11">
        <v>7</v>
      </c>
      <c r="D61" s="18">
        <v>6</v>
      </c>
      <c r="E61" s="95"/>
      <c r="F61" s="476">
        <f t="shared" si="54"/>
        <v>184</v>
      </c>
      <c r="G61" s="89">
        <v>8</v>
      </c>
      <c r="H61" s="221">
        <v>176</v>
      </c>
      <c r="I61" s="10">
        <v>8</v>
      </c>
      <c r="J61" s="10">
        <v>8</v>
      </c>
      <c r="K61" s="10"/>
      <c r="L61" s="185">
        <f t="shared" si="55"/>
        <v>160</v>
      </c>
      <c r="M61" s="10"/>
      <c r="N61" s="10"/>
      <c r="O61" s="10"/>
      <c r="P61" s="10"/>
      <c r="Q61" s="345"/>
      <c r="R61" s="6"/>
      <c r="S61" s="6"/>
      <c r="T61" s="6"/>
      <c r="U61" s="6"/>
      <c r="V61" s="201"/>
      <c r="W61" s="345"/>
      <c r="X61" s="6"/>
      <c r="Y61" s="6"/>
      <c r="Z61" s="6"/>
      <c r="AA61" s="6"/>
      <c r="AB61" s="185"/>
      <c r="AC61" s="345"/>
      <c r="AD61" s="6"/>
      <c r="AE61" s="6"/>
      <c r="AF61" s="6"/>
      <c r="AG61" s="6"/>
      <c r="AH61" s="185"/>
      <c r="AI61" s="345"/>
      <c r="AJ61" s="6"/>
      <c r="AK61" s="6"/>
      <c r="AL61" s="6"/>
      <c r="AM61" s="6"/>
      <c r="AN61" s="201"/>
      <c r="AO61" s="178"/>
      <c r="AP61" s="6"/>
      <c r="AQ61" s="6"/>
      <c r="AR61" s="6"/>
      <c r="AS61" s="6"/>
      <c r="AT61" s="193"/>
      <c r="AU61" s="178">
        <v>40</v>
      </c>
      <c r="AV61" s="6"/>
      <c r="AW61" s="6"/>
      <c r="AX61" s="6"/>
      <c r="AY61" s="6"/>
      <c r="AZ61" s="193">
        <v>40</v>
      </c>
      <c r="BA61" s="622">
        <v>144</v>
      </c>
      <c r="BB61" s="6">
        <v>8</v>
      </c>
      <c r="BC61" s="6">
        <v>8</v>
      </c>
      <c r="BD61" s="6">
        <v>8</v>
      </c>
      <c r="BE61" s="6"/>
      <c r="BF61" s="185">
        <v>120</v>
      </c>
      <c r="BG61" s="345"/>
      <c r="BH61" s="6"/>
      <c r="BI61" s="6"/>
      <c r="BJ61" s="6"/>
      <c r="BK61" s="6"/>
      <c r="BL61" s="185"/>
      <c r="BM61" s="447"/>
    </row>
    <row r="62" spans="1:65" ht="29.25" customHeight="1" x14ac:dyDescent="0.2">
      <c r="A62" s="76" t="s">
        <v>296</v>
      </c>
      <c r="B62" s="415" t="s">
        <v>259</v>
      </c>
      <c r="C62" s="87">
        <v>8</v>
      </c>
      <c r="D62" s="45"/>
      <c r="E62" s="94"/>
      <c r="F62" s="476">
        <f t="shared" si="54"/>
        <v>168</v>
      </c>
      <c r="G62" s="53">
        <v>10</v>
      </c>
      <c r="H62" s="221">
        <v>158</v>
      </c>
      <c r="I62" s="12">
        <v>8</v>
      </c>
      <c r="J62" s="12">
        <v>10</v>
      </c>
      <c r="K62" s="12"/>
      <c r="L62" s="185">
        <f t="shared" si="55"/>
        <v>140</v>
      </c>
      <c r="M62" s="12"/>
      <c r="N62" s="12"/>
      <c r="O62" s="12"/>
      <c r="P62" s="75"/>
      <c r="Q62" s="164"/>
      <c r="R62" s="39"/>
      <c r="S62" s="39"/>
      <c r="T62" s="39"/>
      <c r="U62" s="39"/>
      <c r="V62" s="200"/>
      <c r="W62" s="345"/>
      <c r="X62" s="6"/>
      <c r="Y62" s="6"/>
      <c r="Z62" s="6"/>
      <c r="AA62" s="6"/>
      <c r="AB62" s="185"/>
      <c r="AC62" s="345"/>
      <c r="AD62" s="6"/>
      <c r="AE62" s="6"/>
      <c r="AF62" s="6"/>
      <c r="AG62" s="6"/>
      <c r="AH62" s="185"/>
      <c r="AI62" s="345"/>
      <c r="AJ62" s="6"/>
      <c r="AK62" s="6"/>
      <c r="AL62" s="6"/>
      <c r="AM62" s="6"/>
      <c r="AN62" s="201"/>
      <c r="AO62" s="178"/>
      <c r="AP62" s="6"/>
      <c r="AQ62" s="6"/>
      <c r="AR62" s="6"/>
      <c r="AS62" s="6"/>
      <c r="AT62" s="193"/>
      <c r="AU62" s="178"/>
      <c r="AV62" s="6"/>
      <c r="AW62" s="146"/>
      <c r="AX62" s="6"/>
      <c r="AY62" s="6"/>
      <c r="AZ62" s="193"/>
      <c r="BA62" s="622"/>
      <c r="BB62" s="6"/>
      <c r="BC62" s="6"/>
      <c r="BD62" s="6"/>
      <c r="BE62" s="6"/>
      <c r="BF62" s="185"/>
      <c r="BG62" s="345">
        <v>168</v>
      </c>
      <c r="BH62" s="6">
        <v>10</v>
      </c>
      <c r="BI62" s="6">
        <v>8</v>
      </c>
      <c r="BJ62" s="6">
        <v>10</v>
      </c>
      <c r="BK62" s="6"/>
      <c r="BL62" s="185">
        <v>140</v>
      </c>
    </row>
    <row r="63" spans="1:65" ht="18" hidden="1" customHeight="1" thickBot="1" x14ac:dyDescent="0.25">
      <c r="A63" s="76" t="s">
        <v>47</v>
      </c>
      <c r="B63" s="126" t="s">
        <v>23</v>
      </c>
      <c r="C63" s="127"/>
      <c r="D63" s="18"/>
      <c r="E63" s="95"/>
      <c r="F63" s="476">
        <f t="shared" si="54"/>
        <v>0</v>
      </c>
      <c r="G63" s="52"/>
      <c r="H63" s="221">
        <f t="shared" ref="H63:H65" si="56">SUM(AC63+AI63+AO63+AU63+BA63+BG63)</f>
        <v>0</v>
      </c>
      <c r="I63" s="10"/>
      <c r="J63" s="10"/>
      <c r="K63" s="10"/>
      <c r="L63" s="185">
        <f t="shared" si="55"/>
        <v>0</v>
      </c>
      <c r="M63" s="10"/>
      <c r="N63" s="10"/>
      <c r="O63" s="10"/>
      <c r="P63" s="78"/>
      <c r="Q63" s="164"/>
      <c r="R63" s="39"/>
      <c r="S63" s="39"/>
      <c r="T63" s="39"/>
      <c r="U63" s="39"/>
      <c r="V63" s="200"/>
      <c r="W63" s="345"/>
      <c r="X63" s="6"/>
      <c r="Y63" s="6"/>
      <c r="Z63" s="6"/>
      <c r="AA63" s="6"/>
      <c r="AB63" s="185"/>
      <c r="AC63" s="345"/>
      <c r="AD63" s="6"/>
      <c r="AE63" s="6"/>
      <c r="AF63" s="6"/>
      <c r="AG63" s="6"/>
      <c r="AH63" s="185"/>
      <c r="AI63" s="345"/>
      <c r="AJ63" s="6"/>
      <c r="AK63" s="6"/>
      <c r="AL63" s="6"/>
      <c r="AM63" s="6"/>
      <c r="AN63" s="201"/>
      <c r="AO63" s="178"/>
      <c r="AP63" s="6"/>
      <c r="AQ63" s="6"/>
      <c r="AR63" s="6"/>
      <c r="AS63" s="6"/>
      <c r="AT63" s="193"/>
      <c r="AU63" s="178"/>
      <c r="AV63" s="6"/>
      <c r="AW63" s="6"/>
      <c r="AX63" s="146"/>
      <c r="AY63" s="6"/>
      <c r="AZ63" s="193"/>
      <c r="BA63" s="167"/>
      <c r="BB63" s="6"/>
      <c r="BC63" s="6"/>
      <c r="BD63" s="6"/>
      <c r="BE63" s="6"/>
      <c r="BF63" s="185"/>
      <c r="BG63" s="345"/>
      <c r="BH63" s="6"/>
      <c r="BI63" s="6"/>
      <c r="BJ63" s="6"/>
      <c r="BK63" s="6"/>
      <c r="BL63" s="185"/>
    </row>
    <row r="64" spans="1:65" ht="15.75" x14ac:dyDescent="0.25">
      <c r="A64" s="83" t="s">
        <v>24</v>
      </c>
      <c r="B64" s="90" t="s">
        <v>23</v>
      </c>
      <c r="C64" s="128"/>
      <c r="D64" s="11">
        <v>7</v>
      </c>
      <c r="E64" s="473"/>
      <c r="F64" s="476">
        <f t="shared" si="54"/>
        <v>36</v>
      </c>
      <c r="G64" s="474"/>
      <c r="H64" s="221">
        <f t="shared" si="56"/>
        <v>36</v>
      </c>
      <c r="I64" s="129"/>
      <c r="J64" s="129"/>
      <c r="K64" s="10">
        <v>36</v>
      </c>
      <c r="L64" s="185">
        <f t="shared" si="55"/>
        <v>0</v>
      </c>
      <c r="M64" s="129"/>
      <c r="N64" s="129"/>
      <c r="O64" s="129"/>
      <c r="P64" s="130"/>
      <c r="Q64" s="167"/>
      <c r="R64" s="6"/>
      <c r="S64" s="6"/>
      <c r="T64" s="6"/>
      <c r="U64" s="6"/>
      <c r="V64" s="201"/>
      <c r="W64" s="345"/>
      <c r="X64" s="6"/>
      <c r="Y64" s="6"/>
      <c r="Z64" s="6"/>
      <c r="AA64" s="6"/>
      <c r="AB64" s="185"/>
      <c r="AC64" s="416"/>
      <c r="AD64" s="70"/>
      <c r="AE64" s="70"/>
      <c r="AF64" s="70"/>
      <c r="AG64" s="70"/>
      <c r="AH64" s="186"/>
      <c r="AI64" s="416"/>
      <c r="AJ64" s="70"/>
      <c r="AK64" s="70"/>
      <c r="AL64" s="70"/>
      <c r="AM64" s="70"/>
      <c r="AN64" s="617"/>
      <c r="AO64" s="178"/>
      <c r="AP64" s="70"/>
      <c r="AQ64" s="70"/>
      <c r="AR64" s="70"/>
      <c r="AS64" s="6"/>
      <c r="AT64" s="627"/>
      <c r="AU64" s="178"/>
      <c r="AV64" s="6"/>
      <c r="AW64" s="6"/>
      <c r="AX64" s="6"/>
      <c r="AY64" s="6"/>
      <c r="AZ64" s="193"/>
      <c r="BA64" s="167">
        <v>36</v>
      </c>
      <c r="BB64" s="6"/>
      <c r="BC64" s="6"/>
      <c r="BD64" s="6"/>
      <c r="BE64" s="6">
        <v>36</v>
      </c>
      <c r="BF64" s="185"/>
      <c r="BG64" s="345"/>
      <c r="BH64" s="6"/>
      <c r="BI64" s="6"/>
      <c r="BJ64" s="6"/>
      <c r="BK64" s="6"/>
      <c r="BL64" s="185"/>
    </row>
    <row r="65" spans="1:64" ht="15.75" x14ac:dyDescent="0.25">
      <c r="A65" s="84" t="s">
        <v>24</v>
      </c>
      <c r="B65" s="401" t="s">
        <v>220</v>
      </c>
      <c r="C65" s="131"/>
      <c r="D65" s="358">
        <v>7.8</v>
      </c>
      <c r="E65" s="359"/>
      <c r="F65" s="476">
        <f t="shared" si="54"/>
        <v>180</v>
      </c>
      <c r="G65" s="52"/>
      <c r="H65" s="221">
        <f t="shared" si="56"/>
        <v>180</v>
      </c>
      <c r="I65" s="38"/>
      <c r="J65" s="38"/>
      <c r="K65" s="38">
        <v>180</v>
      </c>
      <c r="L65" s="185">
        <f t="shared" si="55"/>
        <v>0</v>
      </c>
      <c r="M65" s="38"/>
      <c r="N65" s="38"/>
      <c r="O65" s="38"/>
      <c r="P65" s="79"/>
      <c r="Q65" s="165"/>
      <c r="R65" s="43"/>
      <c r="S65" s="43"/>
      <c r="T65" s="43"/>
      <c r="U65" s="43"/>
      <c r="V65" s="194"/>
      <c r="W65" s="165"/>
      <c r="X65" s="43"/>
      <c r="Y65" s="43"/>
      <c r="Z65" s="43"/>
      <c r="AA65" s="43"/>
      <c r="AB65" s="194"/>
      <c r="AC65" s="177"/>
      <c r="AD65" s="109"/>
      <c r="AE65" s="109"/>
      <c r="AF65" s="109"/>
      <c r="AG65" s="109"/>
      <c r="AH65" s="360"/>
      <c r="AI65" s="168"/>
      <c r="AJ65" s="109"/>
      <c r="AK65" s="109"/>
      <c r="AL65" s="109"/>
      <c r="AM65" s="109"/>
      <c r="AN65" s="361"/>
      <c r="AO65" s="177"/>
      <c r="AP65" s="109"/>
      <c r="AQ65" s="109"/>
      <c r="AR65" s="109"/>
      <c r="AS65" s="109"/>
      <c r="AT65" s="360"/>
      <c r="AU65" s="177"/>
      <c r="AV65" s="109"/>
      <c r="AW65" s="109"/>
      <c r="AX65" s="109"/>
      <c r="AY65" s="109"/>
      <c r="AZ65" s="360"/>
      <c r="BA65" s="167">
        <v>108</v>
      </c>
      <c r="BB65" s="6"/>
      <c r="BC65" s="6"/>
      <c r="BD65" s="6"/>
      <c r="BE65" s="6">
        <v>108</v>
      </c>
      <c r="BF65" s="185"/>
      <c r="BG65" s="345">
        <v>72</v>
      </c>
      <c r="BH65" s="6"/>
      <c r="BI65" s="6"/>
      <c r="BJ65" s="6"/>
      <c r="BK65" s="6">
        <v>72</v>
      </c>
      <c r="BL65" s="185"/>
    </row>
    <row r="66" spans="1:64" s="363" customFormat="1" ht="16.5" thickBot="1" x14ac:dyDescent="0.3">
      <c r="A66" s="6"/>
      <c r="B66" s="362" t="s">
        <v>218</v>
      </c>
      <c r="C66" s="11"/>
      <c r="D66" s="11"/>
      <c r="E66" s="96"/>
      <c r="F66" s="477">
        <f t="shared" si="54"/>
        <v>0</v>
      </c>
      <c r="G66" s="89"/>
      <c r="H66" s="220">
        <f t="shared" ref="H66" si="57">SUM(AC66+AI66)</f>
        <v>0</v>
      </c>
      <c r="I66" s="42"/>
      <c r="J66" s="42"/>
      <c r="K66" s="42"/>
      <c r="L66" s="431">
        <f t="shared" si="55"/>
        <v>0</v>
      </c>
      <c r="M66" s="42"/>
      <c r="N66" s="42"/>
      <c r="O66" s="42"/>
      <c r="P66" s="42"/>
      <c r="Q66" s="453"/>
      <c r="R66" s="43"/>
      <c r="S66" s="43"/>
      <c r="T66" s="43"/>
      <c r="U66" s="43"/>
      <c r="V66" s="431"/>
      <c r="W66" s="453"/>
      <c r="X66" s="43"/>
      <c r="Y66" s="43"/>
      <c r="Z66" s="43"/>
      <c r="AA66" s="43"/>
      <c r="AB66" s="431"/>
      <c r="AC66" s="453"/>
      <c r="AD66" s="43"/>
      <c r="AE66" s="43"/>
      <c r="AF66" s="43"/>
      <c r="AG66" s="43"/>
      <c r="AH66" s="431"/>
      <c r="AI66" s="453"/>
      <c r="AJ66" s="43"/>
      <c r="AK66" s="43"/>
      <c r="AL66" s="43"/>
      <c r="AM66" s="43"/>
      <c r="AN66" s="202"/>
      <c r="AO66" s="596"/>
      <c r="AP66" s="44"/>
      <c r="AQ66" s="44"/>
      <c r="AR66" s="44"/>
      <c r="AS66" s="44"/>
      <c r="AT66" s="197"/>
      <c r="AU66" s="596"/>
      <c r="AV66" s="44"/>
      <c r="AW66" s="44"/>
      <c r="AX66" s="44"/>
      <c r="AY66" s="44"/>
      <c r="AZ66" s="197"/>
      <c r="BA66" s="623"/>
      <c r="BB66" s="410"/>
      <c r="BC66" s="410"/>
      <c r="BD66" s="410"/>
      <c r="BE66" s="410"/>
      <c r="BF66" s="410"/>
      <c r="BG66" s="410"/>
      <c r="BH66" s="410"/>
      <c r="BI66" s="410"/>
      <c r="BJ66" s="410"/>
      <c r="BK66" s="410"/>
      <c r="BL66" s="410"/>
    </row>
    <row r="67" spans="1:64" ht="32.25" thickBot="1" x14ac:dyDescent="0.25">
      <c r="A67" s="340" t="s">
        <v>20</v>
      </c>
      <c r="B67" s="495" t="s">
        <v>261</v>
      </c>
      <c r="C67" s="496" t="s">
        <v>93</v>
      </c>
      <c r="D67" s="497">
        <v>1</v>
      </c>
      <c r="E67" s="498"/>
      <c r="F67" s="410">
        <f>SUM(F68:F74)</f>
        <v>456</v>
      </c>
      <c r="G67" s="340">
        <f>SUM(G68:G74)</f>
        <v>18</v>
      </c>
      <c r="H67" s="583">
        <f>SUM(H68:H74)</f>
        <v>438</v>
      </c>
      <c r="I67" s="489">
        <f t="shared" ref="I67:AN67" si="58">SUM(I68:I81)</f>
        <v>56</v>
      </c>
      <c r="J67" s="421">
        <f t="shared" si="58"/>
        <v>38</v>
      </c>
      <c r="K67" s="421">
        <f t="shared" si="58"/>
        <v>216</v>
      </c>
      <c r="L67" s="421">
        <f>SUM(L68:L74)</f>
        <v>184</v>
      </c>
      <c r="M67" s="421">
        <f t="shared" si="58"/>
        <v>68</v>
      </c>
      <c r="N67" s="421">
        <f t="shared" si="58"/>
        <v>72</v>
      </c>
      <c r="O67" s="421">
        <f t="shared" si="58"/>
        <v>72</v>
      </c>
      <c r="P67" s="421">
        <f t="shared" si="58"/>
        <v>20</v>
      </c>
      <c r="Q67" s="421">
        <f t="shared" si="58"/>
        <v>0</v>
      </c>
      <c r="R67" s="421">
        <f t="shared" si="58"/>
        <v>0</v>
      </c>
      <c r="S67" s="421">
        <f t="shared" si="58"/>
        <v>0</v>
      </c>
      <c r="T67" s="421">
        <f t="shared" si="58"/>
        <v>0</v>
      </c>
      <c r="U67" s="421">
        <f t="shared" si="58"/>
        <v>0</v>
      </c>
      <c r="V67" s="421">
        <f t="shared" si="58"/>
        <v>0</v>
      </c>
      <c r="W67" s="421">
        <f t="shared" si="58"/>
        <v>0</v>
      </c>
      <c r="X67" s="421">
        <f t="shared" si="58"/>
        <v>0</v>
      </c>
      <c r="Y67" s="421">
        <f t="shared" si="58"/>
        <v>0</v>
      </c>
      <c r="Z67" s="421">
        <f t="shared" si="58"/>
        <v>0</v>
      </c>
      <c r="AA67" s="421">
        <f t="shared" si="58"/>
        <v>0</v>
      </c>
      <c r="AB67" s="421">
        <f t="shared" si="58"/>
        <v>0</v>
      </c>
      <c r="AC67" s="421">
        <f t="shared" si="58"/>
        <v>0</v>
      </c>
      <c r="AD67" s="421">
        <f t="shared" si="58"/>
        <v>0</v>
      </c>
      <c r="AE67" s="421">
        <f t="shared" si="58"/>
        <v>0</v>
      </c>
      <c r="AF67" s="421">
        <f t="shared" si="58"/>
        <v>0</v>
      </c>
      <c r="AG67" s="421">
        <f t="shared" si="58"/>
        <v>0</v>
      </c>
      <c r="AH67" s="421">
        <f t="shared" si="58"/>
        <v>0</v>
      </c>
      <c r="AI67" s="421">
        <f t="shared" si="58"/>
        <v>216</v>
      </c>
      <c r="AJ67" s="421">
        <f t="shared" si="58"/>
        <v>10</v>
      </c>
      <c r="AK67" s="421">
        <f t="shared" si="58"/>
        <v>8</v>
      </c>
      <c r="AL67" s="421">
        <f t="shared" si="58"/>
        <v>10</v>
      </c>
      <c r="AM67" s="421">
        <f t="shared" si="58"/>
        <v>108</v>
      </c>
      <c r="AN67" s="421">
        <f t="shared" si="58"/>
        <v>80</v>
      </c>
      <c r="AO67" s="421">
        <f>SUM(AO68:AO74)</f>
        <v>240</v>
      </c>
      <c r="AP67" s="421">
        <f t="shared" ref="AP67:BL67" si="59">SUM(AP68:AP74)</f>
        <v>8</v>
      </c>
      <c r="AQ67" s="421">
        <f t="shared" si="59"/>
        <v>16</v>
      </c>
      <c r="AR67" s="421">
        <f t="shared" si="59"/>
        <v>4</v>
      </c>
      <c r="AS67" s="421">
        <f t="shared" si="59"/>
        <v>108</v>
      </c>
      <c r="AT67" s="421">
        <f t="shared" si="59"/>
        <v>104</v>
      </c>
      <c r="AU67" s="421">
        <f>SUM(AU68:AU74)</f>
        <v>0</v>
      </c>
      <c r="AV67" s="421">
        <f t="shared" si="59"/>
        <v>0</v>
      </c>
      <c r="AW67" s="421">
        <f t="shared" si="59"/>
        <v>0</v>
      </c>
      <c r="AX67" s="421">
        <f t="shared" si="59"/>
        <v>0</v>
      </c>
      <c r="AY67" s="421">
        <f t="shared" si="59"/>
        <v>0</v>
      </c>
      <c r="AZ67" s="421">
        <f t="shared" si="59"/>
        <v>0</v>
      </c>
      <c r="BA67" s="421">
        <f>SUM(BA68:BA74)</f>
        <v>0</v>
      </c>
      <c r="BB67" s="421">
        <f t="shared" si="59"/>
        <v>0</v>
      </c>
      <c r="BC67" s="421">
        <f t="shared" si="59"/>
        <v>0</v>
      </c>
      <c r="BD67" s="421">
        <f t="shared" si="59"/>
        <v>0</v>
      </c>
      <c r="BE67" s="421">
        <f t="shared" si="59"/>
        <v>0</v>
      </c>
      <c r="BF67" s="421">
        <f t="shared" si="59"/>
        <v>0</v>
      </c>
      <c r="BG67" s="421">
        <f t="shared" si="59"/>
        <v>0</v>
      </c>
      <c r="BH67" s="421">
        <f t="shared" si="59"/>
        <v>0</v>
      </c>
      <c r="BI67" s="421">
        <f t="shared" si="59"/>
        <v>0</v>
      </c>
      <c r="BJ67" s="421">
        <f t="shared" si="59"/>
        <v>0</v>
      </c>
      <c r="BK67" s="421">
        <f t="shared" si="59"/>
        <v>0</v>
      </c>
      <c r="BL67" s="490">
        <f t="shared" si="59"/>
        <v>0</v>
      </c>
    </row>
    <row r="68" spans="1:64" ht="31.5" x14ac:dyDescent="0.2">
      <c r="A68" s="417" t="s">
        <v>21</v>
      </c>
      <c r="B68" s="502" t="s">
        <v>262</v>
      </c>
      <c r="C68" s="139">
        <v>5</v>
      </c>
      <c r="D68" s="506"/>
      <c r="E68" s="507"/>
      <c r="F68" s="475">
        <f t="shared" ref="F68:F73" si="60">SUM(G68:H68)</f>
        <v>66</v>
      </c>
      <c r="G68" s="53">
        <v>4</v>
      </c>
      <c r="H68" s="220">
        <v>62</v>
      </c>
      <c r="I68" s="12">
        <v>8</v>
      </c>
      <c r="J68" s="12">
        <v>2</v>
      </c>
      <c r="K68" s="12"/>
      <c r="L68" s="184">
        <f>SUM(AN68+AT68+AZ68+BF68+BL68)</f>
        <v>52</v>
      </c>
      <c r="M68" s="12">
        <v>42</v>
      </c>
      <c r="N68" s="12">
        <v>58</v>
      </c>
      <c r="O68" s="12">
        <v>58</v>
      </c>
      <c r="P68" s="75">
        <v>20</v>
      </c>
      <c r="Q68" s="164"/>
      <c r="R68" s="39"/>
      <c r="S68" s="39"/>
      <c r="T68" s="39"/>
      <c r="U68" s="39"/>
      <c r="V68" s="192"/>
      <c r="W68" s="164"/>
      <c r="X68" s="39"/>
      <c r="Y68" s="39"/>
      <c r="Z68" s="39"/>
      <c r="AA68" s="39"/>
      <c r="AB68" s="192"/>
      <c r="AC68" s="164"/>
      <c r="AD68" s="39"/>
      <c r="AE68" s="39"/>
      <c r="AF68" s="39"/>
      <c r="AG68" s="39"/>
      <c r="AH68" s="200"/>
      <c r="AI68" s="166"/>
      <c r="AJ68" s="135"/>
      <c r="AK68" s="135"/>
      <c r="AL68" s="135"/>
      <c r="AM68" s="135"/>
      <c r="AN68" s="595"/>
      <c r="AO68" s="166">
        <v>66</v>
      </c>
      <c r="AP68" s="135">
        <v>4</v>
      </c>
      <c r="AQ68" s="135">
        <v>8</v>
      </c>
      <c r="AR68" s="135">
        <v>2</v>
      </c>
      <c r="AS68" s="135"/>
      <c r="AT68" s="595">
        <v>52</v>
      </c>
      <c r="AU68" s="164"/>
      <c r="AV68" s="39"/>
      <c r="AW68" s="39"/>
      <c r="AX68" s="39"/>
      <c r="AY68" s="39"/>
      <c r="AZ68" s="192"/>
      <c r="BA68" s="179"/>
      <c r="BB68" s="147"/>
      <c r="BC68" s="147"/>
      <c r="BD68" s="147"/>
      <c r="BE68" s="147"/>
      <c r="BF68" s="195"/>
      <c r="BG68" s="179"/>
      <c r="BH68" s="147"/>
      <c r="BI68" s="147"/>
      <c r="BJ68" s="147"/>
      <c r="BK68" s="147"/>
      <c r="BL68" s="198"/>
    </row>
    <row r="69" spans="1:64" ht="31.5" x14ac:dyDescent="0.25">
      <c r="A69" s="6" t="s">
        <v>25</v>
      </c>
      <c r="B69" s="503" t="s">
        <v>263</v>
      </c>
      <c r="C69" s="508"/>
      <c r="D69" s="13">
        <v>4</v>
      </c>
      <c r="E69" s="91"/>
      <c r="F69" s="476">
        <f t="shared" si="60"/>
        <v>108</v>
      </c>
      <c r="G69" s="53">
        <v>10</v>
      </c>
      <c r="H69" s="220">
        <v>98</v>
      </c>
      <c r="I69" s="12">
        <v>8</v>
      </c>
      <c r="J69" s="12">
        <v>10</v>
      </c>
      <c r="K69" s="12"/>
      <c r="L69" s="184">
        <f t="shared" ref="L69:L73" si="61">SUM(AN69+AT69+AZ69+BF69+BL69)</f>
        <v>80</v>
      </c>
      <c r="M69" s="12"/>
      <c r="N69" s="12"/>
      <c r="O69" s="12"/>
      <c r="P69" s="75"/>
      <c r="Q69" s="164"/>
      <c r="R69" s="39"/>
      <c r="S69" s="39"/>
      <c r="T69" s="39"/>
      <c r="U69" s="39"/>
      <c r="V69" s="192"/>
      <c r="W69" s="164"/>
      <c r="X69" s="39"/>
      <c r="Y69" s="39"/>
      <c r="Z69" s="39"/>
      <c r="AA69" s="39"/>
      <c r="AB69" s="192"/>
      <c r="AC69" s="164"/>
      <c r="AD69" s="39"/>
      <c r="AE69" s="39"/>
      <c r="AF69" s="39"/>
      <c r="AG69" s="39"/>
      <c r="AH69" s="200"/>
      <c r="AI69" s="176">
        <v>108</v>
      </c>
      <c r="AJ69" s="39">
        <v>10</v>
      </c>
      <c r="AK69" s="39">
        <v>8</v>
      </c>
      <c r="AL69" s="39">
        <v>10</v>
      </c>
      <c r="AM69" s="109"/>
      <c r="AN69" s="192">
        <v>80</v>
      </c>
      <c r="AO69" s="176"/>
      <c r="AP69" s="39"/>
      <c r="AQ69" s="39"/>
      <c r="AR69" s="39"/>
      <c r="AS69" s="39"/>
      <c r="AT69" s="192"/>
      <c r="AU69" s="616"/>
      <c r="AV69" s="472"/>
      <c r="AW69" s="472"/>
      <c r="AX69" s="472"/>
      <c r="AY69" s="472"/>
      <c r="AZ69" s="203"/>
      <c r="BA69" s="336"/>
      <c r="BB69" s="337"/>
      <c r="BC69" s="337"/>
      <c r="BD69" s="9"/>
      <c r="BE69" s="9"/>
      <c r="BF69" s="196"/>
      <c r="BG69" s="418"/>
      <c r="BH69" s="9"/>
      <c r="BI69" s="9"/>
      <c r="BJ69" s="9"/>
      <c r="BK69" s="9"/>
      <c r="BL69" s="196"/>
    </row>
    <row r="70" spans="1:64" ht="15.75" customHeight="1" x14ac:dyDescent="0.25">
      <c r="A70" s="85" t="s">
        <v>264</v>
      </c>
      <c r="B70" s="504" t="s">
        <v>265</v>
      </c>
      <c r="C70" s="127">
        <v>5</v>
      </c>
      <c r="D70" s="11"/>
      <c r="E70" s="509"/>
      <c r="F70" s="476">
        <f t="shared" si="60"/>
        <v>66</v>
      </c>
      <c r="G70" s="53">
        <v>4</v>
      </c>
      <c r="H70" s="220">
        <v>62</v>
      </c>
      <c r="I70" s="12">
        <v>8</v>
      </c>
      <c r="J70" s="12">
        <v>2</v>
      </c>
      <c r="K70" s="12"/>
      <c r="L70" s="184">
        <f t="shared" si="61"/>
        <v>52</v>
      </c>
      <c r="M70" s="12">
        <v>26</v>
      </c>
      <c r="N70" s="10">
        <v>14</v>
      </c>
      <c r="O70" s="10">
        <v>14</v>
      </c>
      <c r="P70" s="78"/>
      <c r="Q70" s="167"/>
      <c r="R70" s="6"/>
      <c r="S70" s="6"/>
      <c r="T70" s="6"/>
      <c r="U70" s="6"/>
      <c r="V70" s="193"/>
      <c r="W70" s="167"/>
      <c r="X70" s="6"/>
      <c r="Y70" s="6"/>
      <c r="Z70" s="6"/>
      <c r="AA70" s="6"/>
      <c r="AB70" s="193"/>
      <c r="AC70" s="164"/>
      <c r="AD70" s="6"/>
      <c r="AE70" s="6"/>
      <c r="AF70" s="6"/>
      <c r="AG70" s="6"/>
      <c r="AH70" s="201"/>
      <c r="AI70" s="176"/>
      <c r="AJ70" s="6"/>
      <c r="AK70" s="6"/>
      <c r="AL70" s="6"/>
      <c r="AM70" s="43"/>
      <c r="AN70" s="193"/>
      <c r="AO70" s="176">
        <v>66</v>
      </c>
      <c r="AP70" s="6">
        <v>4</v>
      </c>
      <c r="AQ70" s="6">
        <v>8</v>
      </c>
      <c r="AR70" s="6">
        <v>2</v>
      </c>
      <c r="AS70" s="6"/>
      <c r="AT70" s="193">
        <v>52</v>
      </c>
      <c r="AU70" s="164"/>
      <c r="AV70" s="10"/>
      <c r="AW70" s="10"/>
      <c r="AX70" s="10"/>
      <c r="AY70" s="10"/>
      <c r="AZ70" s="201"/>
      <c r="BA70" s="366"/>
      <c r="BB70" s="152"/>
      <c r="BC70" s="152"/>
      <c r="BD70" s="152"/>
      <c r="BE70" s="152"/>
      <c r="BF70" s="367"/>
      <c r="BG70" s="366"/>
      <c r="BH70" s="152"/>
      <c r="BI70" s="152"/>
      <c r="BJ70" s="152"/>
      <c r="BK70" s="152"/>
      <c r="BL70" s="367"/>
    </row>
    <row r="71" spans="1:64" ht="16.5" hidden="1" customHeight="1" thickBot="1" x14ac:dyDescent="0.25">
      <c r="A71" s="85" t="s">
        <v>48</v>
      </c>
      <c r="B71" s="505" t="s">
        <v>23</v>
      </c>
      <c r="C71" s="510"/>
      <c r="D71" s="133"/>
      <c r="E71" s="511"/>
      <c r="F71" s="476"/>
      <c r="G71" s="53"/>
      <c r="H71" s="220">
        <f t="shared" ref="H71:H73" si="62">SUM(AI71+AO71+AU71+BA71+BG71)</f>
        <v>0</v>
      </c>
      <c r="I71" s="38"/>
      <c r="J71" s="38"/>
      <c r="K71" s="38"/>
      <c r="L71" s="184">
        <f t="shared" si="61"/>
        <v>0</v>
      </c>
      <c r="M71" s="38"/>
      <c r="N71" s="42"/>
      <c r="O71" s="42"/>
      <c r="P71" s="79"/>
      <c r="Q71" s="165"/>
      <c r="R71" s="43"/>
      <c r="S71" s="43"/>
      <c r="T71" s="43"/>
      <c r="U71" s="43"/>
      <c r="V71" s="194"/>
      <c r="W71" s="165"/>
      <c r="X71" s="43"/>
      <c r="Y71" s="43"/>
      <c r="Z71" s="43"/>
      <c r="AA71" s="43"/>
      <c r="AB71" s="194"/>
      <c r="AC71" s="168"/>
      <c r="AD71" s="43"/>
      <c r="AE71" s="43"/>
      <c r="AF71" s="43"/>
      <c r="AG71" s="43"/>
      <c r="AH71" s="202"/>
      <c r="AI71" s="177"/>
      <c r="AJ71" s="43"/>
      <c r="AK71" s="43"/>
      <c r="AL71" s="406"/>
      <c r="AM71" s="43"/>
      <c r="AN71" s="451"/>
      <c r="AO71" s="177"/>
      <c r="AP71" s="43"/>
      <c r="AQ71" s="43"/>
      <c r="AR71" s="43"/>
      <c r="AS71" s="43"/>
      <c r="AT71" s="194"/>
      <c r="AU71" s="168"/>
      <c r="AV71" s="43"/>
      <c r="AW71" s="43"/>
      <c r="AX71" s="43"/>
      <c r="AY71" s="43"/>
      <c r="AZ71" s="202"/>
      <c r="BA71" s="452"/>
      <c r="BB71" s="452"/>
      <c r="BC71" s="452"/>
      <c r="BD71" s="452"/>
      <c r="BE71" s="452"/>
      <c r="BF71" s="452"/>
      <c r="BG71" s="453"/>
      <c r="BH71" s="453"/>
      <c r="BI71" s="453"/>
      <c r="BJ71" s="453"/>
      <c r="BK71" s="453"/>
      <c r="BL71" s="453"/>
    </row>
    <row r="72" spans="1:64" ht="15.75" x14ac:dyDescent="0.25">
      <c r="A72" s="57" t="s">
        <v>26</v>
      </c>
      <c r="B72" s="448" t="s">
        <v>23</v>
      </c>
      <c r="C72" s="127"/>
      <c r="D72" s="11">
        <v>4</v>
      </c>
      <c r="E72" s="509"/>
      <c r="F72" s="476">
        <f t="shared" si="60"/>
        <v>108</v>
      </c>
      <c r="G72" s="53"/>
      <c r="H72" s="220">
        <f t="shared" si="62"/>
        <v>108</v>
      </c>
      <c r="I72" s="12"/>
      <c r="J72" s="12"/>
      <c r="K72" s="12">
        <v>108</v>
      </c>
      <c r="L72" s="184">
        <f t="shared" si="61"/>
        <v>0</v>
      </c>
      <c r="M72" s="10"/>
      <c r="N72" s="10"/>
      <c r="O72" s="10"/>
      <c r="P72" s="10"/>
      <c r="Q72" s="345"/>
      <c r="R72" s="6"/>
      <c r="S72" s="6"/>
      <c r="T72" s="6"/>
      <c r="U72" s="6"/>
      <c r="V72" s="185"/>
      <c r="W72" s="345"/>
      <c r="X72" s="6"/>
      <c r="Y72" s="6"/>
      <c r="Z72" s="6"/>
      <c r="AA72" s="6"/>
      <c r="AB72" s="185"/>
      <c r="AC72" s="345"/>
      <c r="AD72" s="6"/>
      <c r="AE72" s="6"/>
      <c r="AF72" s="6"/>
      <c r="AG72" s="6"/>
      <c r="AH72" s="201"/>
      <c r="AI72" s="178">
        <v>108</v>
      </c>
      <c r="AJ72" s="6"/>
      <c r="AK72" s="6"/>
      <c r="AL72" s="6"/>
      <c r="AM72" s="6">
        <v>108</v>
      </c>
      <c r="AN72" s="193"/>
      <c r="AO72" s="178"/>
      <c r="AP72" s="6"/>
      <c r="AQ72" s="6"/>
      <c r="AR72" s="6"/>
      <c r="AS72" s="6"/>
      <c r="AT72" s="193"/>
      <c r="AU72" s="167"/>
      <c r="AV72" s="6"/>
      <c r="AW72" s="6"/>
      <c r="AX72" s="6"/>
      <c r="AY72" s="6"/>
      <c r="AZ72" s="370"/>
      <c r="BA72" s="426"/>
      <c r="BB72" s="427"/>
      <c r="BC72" s="427"/>
      <c r="BD72" s="427"/>
      <c r="BE72" s="427"/>
      <c r="BF72" s="426"/>
      <c r="BG72" s="366"/>
      <c r="BH72" s="152"/>
      <c r="BI72" s="152"/>
      <c r="BJ72" s="152"/>
      <c r="BK72" s="152"/>
      <c r="BL72" s="367"/>
    </row>
    <row r="73" spans="1:64" ht="15.75" x14ac:dyDescent="0.25">
      <c r="A73" s="86" t="s">
        <v>26</v>
      </c>
      <c r="B73" s="449" t="s">
        <v>220</v>
      </c>
      <c r="C73" s="127"/>
      <c r="D73" s="11">
        <v>5</v>
      </c>
      <c r="E73" s="509"/>
      <c r="F73" s="476">
        <f t="shared" si="60"/>
        <v>108</v>
      </c>
      <c r="G73" s="53"/>
      <c r="H73" s="220">
        <f t="shared" si="62"/>
        <v>108</v>
      </c>
      <c r="I73" s="10"/>
      <c r="J73" s="10"/>
      <c r="K73" s="10">
        <v>108</v>
      </c>
      <c r="L73" s="184">
        <f t="shared" si="61"/>
        <v>0</v>
      </c>
      <c r="M73" s="10"/>
      <c r="N73" s="10"/>
      <c r="O73" s="10"/>
      <c r="P73" s="10"/>
      <c r="Q73" s="345"/>
      <c r="R73" s="6"/>
      <c r="S73" s="6"/>
      <c r="T73" s="6"/>
      <c r="U73" s="6"/>
      <c r="V73" s="185"/>
      <c r="W73" s="345"/>
      <c r="X73" s="6"/>
      <c r="Y73" s="6"/>
      <c r="Z73" s="6"/>
      <c r="AA73" s="6"/>
      <c r="AB73" s="185"/>
      <c r="AC73" s="345"/>
      <c r="AD73" s="6"/>
      <c r="AE73" s="6"/>
      <c r="AF73" s="6"/>
      <c r="AG73" s="6"/>
      <c r="AH73" s="201"/>
      <c r="AI73" s="178"/>
      <c r="AJ73" s="6"/>
      <c r="AK73" s="6"/>
      <c r="AL73" s="6"/>
      <c r="AM73" s="6"/>
      <c r="AN73" s="193"/>
      <c r="AO73" s="178">
        <v>108</v>
      </c>
      <c r="AP73" s="6"/>
      <c r="AQ73" s="6"/>
      <c r="AR73" s="6"/>
      <c r="AS73" s="6">
        <v>108</v>
      </c>
      <c r="AT73" s="193"/>
      <c r="AU73" s="167"/>
      <c r="AV73" s="6"/>
      <c r="AW73" s="6"/>
      <c r="AX73" s="6"/>
      <c r="AY73" s="6"/>
      <c r="AZ73" s="370"/>
      <c r="BA73" s="426"/>
      <c r="BB73" s="427"/>
      <c r="BC73" s="427"/>
      <c r="BD73" s="427"/>
      <c r="BE73" s="427"/>
      <c r="BF73" s="426"/>
      <c r="BG73" s="366"/>
      <c r="BH73" s="152"/>
      <c r="BI73" s="152"/>
      <c r="BJ73" s="152"/>
      <c r="BK73" s="152"/>
      <c r="BL73" s="367"/>
    </row>
    <row r="74" spans="1:64" ht="16.5" thickBot="1" x14ac:dyDescent="0.3">
      <c r="A74" s="43"/>
      <c r="B74" s="454"/>
      <c r="C74" s="512"/>
      <c r="D74" s="513"/>
      <c r="E74" s="514"/>
      <c r="F74" s="477"/>
      <c r="G74" s="478"/>
      <c r="H74" s="220"/>
      <c r="I74" s="42"/>
      <c r="J74" s="42"/>
      <c r="K74" s="42"/>
      <c r="L74" s="184"/>
      <c r="M74" s="42"/>
      <c r="N74" s="42"/>
      <c r="O74" s="42"/>
      <c r="P74" s="42"/>
      <c r="Q74" s="453"/>
      <c r="R74" s="43"/>
      <c r="S74" s="43"/>
      <c r="T74" s="43"/>
      <c r="U74" s="43"/>
      <c r="V74" s="431"/>
      <c r="W74" s="453"/>
      <c r="X74" s="43"/>
      <c r="Y74" s="43"/>
      <c r="Z74" s="43"/>
      <c r="AA74" s="43"/>
      <c r="AB74" s="431"/>
      <c r="AC74" s="453"/>
      <c r="AD74" s="43"/>
      <c r="AE74" s="43"/>
      <c r="AF74" s="43"/>
      <c r="AG74" s="43"/>
      <c r="AH74" s="202"/>
      <c r="AI74" s="596"/>
      <c r="AJ74" s="44"/>
      <c r="AK74" s="44"/>
      <c r="AL74" s="44"/>
      <c r="AM74" s="44"/>
      <c r="AN74" s="197"/>
      <c r="AO74" s="596"/>
      <c r="AP74" s="44"/>
      <c r="AQ74" s="44"/>
      <c r="AR74" s="44"/>
      <c r="AS74" s="44"/>
      <c r="AT74" s="197"/>
      <c r="AU74" s="165"/>
      <c r="AV74" s="43"/>
      <c r="AW74" s="43"/>
      <c r="AX74" s="43"/>
      <c r="AY74" s="43"/>
      <c r="AZ74" s="455"/>
      <c r="BA74" s="429"/>
      <c r="BB74" s="428"/>
      <c r="BC74" s="428"/>
      <c r="BD74" s="428"/>
      <c r="BE74" s="428"/>
      <c r="BF74" s="429"/>
      <c r="BG74" s="419"/>
      <c r="BH74" s="351"/>
      <c r="BI74" s="351"/>
      <c r="BJ74" s="351"/>
      <c r="BK74" s="351"/>
      <c r="BL74" s="420"/>
    </row>
    <row r="75" spans="1:64" ht="48" thickBot="1" x14ac:dyDescent="0.3">
      <c r="A75" s="489" t="s">
        <v>215</v>
      </c>
      <c r="B75" s="499" t="s">
        <v>266</v>
      </c>
      <c r="C75" s="500"/>
      <c r="D75" s="500"/>
      <c r="E75" s="500"/>
      <c r="F75" s="479">
        <f>SUM(F76:F81)</f>
        <v>496</v>
      </c>
      <c r="G75" s="421">
        <f>SUM(G76:G81)</f>
        <v>26</v>
      </c>
      <c r="H75" s="579">
        <f>SUM(H76:H81)</f>
        <v>470</v>
      </c>
      <c r="I75" s="501">
        <f t="shared" ref="I75:AN75" si="63">SUM(I76:I81)</f>
        <v>16</v>
      </c>
      <c r="J75" s="501">
        <f t="shared" si="63"/>
        <v>12</v>
      </c>
      <c r="K75" s="501">
        <f t="shared" si="63"/>
        <v>0</v>
      </c>
      <c r="L75" s="501">
        <f>SUM(L76:L81)</f>
        <v>226</v>
      </c>
      <c r="M75" s="501">
        <f t="shared" si="63"/>
        <v>0</v>
      </c>
      <c r="N75" s="501">
        <f t="shared" si="63"/>
        <v>0</v>
      </c>
      <c r="O75" s="501">
        <f t="shared" si="63"/>
        <v>0</v>
      </c>
      <c r="P75" s="501">
        <f t="shared" si="63"/>
        <v>0</v>
      </c>
      <c r="Q75" s="501">
        <f t="shared" si="63"/>
        <v>0</v>
      </c>
      <c r="R75" s="501">
        <f t="shared" si="63"/>
        <v>0</v>
      </c>
      <c r="S75" s="501">
        <f t="shared" si="63"/>
        <v>0</v>
      </c>
      <c r="T75" s="501">
        <f t="shared" si="63"/>
        <v>0</v>
      </c>
      <c r="U75" s="501">
        <f t="shared" si="63"/>
        <v>0</v>
      </c>
      <c r="V75" s="501">
        <f t="shared" si="63"/>
        <v>0</v>
      </c>
      <c r="W75" s="501">
        <f t="shared" si="63"/>
        <v>0</v>
      </c>
      <c r="X75" s="501">
        <f t="shared" si="63"/>
        <v>0</v>
      </c>
      <c r="Y75" s="501">
        <f t="shared" si="63"/>
        <v>0</v>
      </c>
      <c r="Z75" s="501">
        <f t="shared" si="63"/>
        <v>0</v>
      </c>
      <c r="AA75" s="501">
        <f t="shared" si="63"/>
        <v>0</v>
      </c>
      <c r="AB75" s="501">
        <f t="shared" si="63"/>
        <v>0</v>
      </c>
      <c r="AC75" s="501">
        <f t="shared" si="63"/>
        <v>0</v>
      </c>
      <c r="AD75" s="501">
        <f t="shared" si="63"/>
        <v>0</v>
      </c>
      <c r="AE75" s="501">
        <f t="shared" si="63"/>
        <v>0</v>
      </c>
      <c r="AF75" s="501">
        <f t="shared" si="63"/>
        <v>0</v>
      </c>
      <c r="AG75" s="501">
        <f t="shared" si="63"/>
        <v>0</v>
      </c>
      <c r="AH75" s="501">
        <f t="shared" si="63"/>
        <v>0</v>
      </c>
      <c r="AI75" s="501">
        <f t="shared" si="63"/>
        <v>0</v>
      </c>
      <c r="AJ75" s="501">
        <f t="shared" si="63"/>
        <v>0</v>
      </c>
      <c r="AK75" s="501">
        <f t="shared" si="63"/>
        <v>0</v>
      </c>
      <c r="AL75" s="501">
        <f t="shared" si="63"/>
        <v>0</v>
      </c>
      <c r="AM75" s="501">
        <f t="shared" si="63"/>
        <v>0</v>
      </c>
      <c r="AN75" s="501">
        <f t="shared" si="63"/>
        <v>0</v>
      </c>
      <c r="AO75" s="501">
        <f>SUM(AO76:AO81)</f>
        <v>82</v>
      </c>
      <c r="AP75" s="501">
        <f t="shared" ref="AP75:BL75" si="64">SUM(AP76:AP81)</f>
        <v>4</v>
      </c>
      <c r="AQ75" s="501">
        <f t="shared" si="64"/>
        <v>0</v>
      </c>
      <c r="AR75" s="501">
        <f t="shared" si="64"/>
        <v>0</v>
      </c>
      <c r="AS75" s="501">
        <f t="shared" si="64"/>
        <v>0</v>
      </c>
      <c r="AT75" s="501">
        <f t="shared" si="64"/>
        <v>78</v>
      </c>
      <c r="AU75" s="501">
        <f>SUM(AU76:AU81)</f>
        <v>102</v>
      </c>
      <c r="AV75" s="501">
        <f t="shared" si="64"/>
        <v>12</v>
      </c>
      <c r="AW75" s="501">
        <f t="shared" si="64"/>
        <v>8</v>
      </c>
      <c r="AX75" s="501">
        <f t="shared" si="64"/>
        <v>2</v>
      </c>
      <c r="AY75" s="501">
        <f t="shared" si="64"/>
        <v>0</v>
      </c>
      <c r="AZ75" s="501">
        <f t="shared" si="64"/>
        <v>80</v>
      </c>
      <c r="BA75" s="501">
        <f>SUM(BA76:BA81)</f>
        <v>118</v>
      </c>
      <c r="BB75" s="501">
        <f t="shared" ref="BB75:BF75" si="65">SUM(BB76:BB81)</f>
        <v>6</v>
      </c>
      <c r="BC75" s="501">
        <f t="shared" si="65"/>
        <v>0</v>
      </c>
      <c r="BD75" s="501">
        <f t="shared" si="65"/>
        <v>0</v>
      </c>
      <c r="BE75" s="501">
        <f t="shared" si="65"/>
        <v>72</v>
      </c>
      <c r="BF75" s="501">
        <f t="shared" si="65"/>
        <v>40</v>
      </c>
      <c r="BG75" s="501">
        <f>SUM(BG76:BG81)</f>
        <v>194</v>
      </c>
      <c r="BH75" s="501">
        <f t="shared" si="64"/>
        <v>4</v>
      </c>
      <c r="BI75" s="501">
        <f t="shared" si="64"/>
        <v>8</v>
      </c>
      <c r="BJ75" s="501">
        <f t="shared" si="64"/>
        <v>10</v>
      </c>
      <c r="BK75" s="501">
        <f t="shared" si="64"/>
        <v>144</v>
      </c>
      <c r="BL75" s="501">
        <f t="shared" si="64"/>
        <v>28</v>
      </c>
    </row>
    <row r="76" spans="1:64" ht="31.5" x14ac:dyDescent="0.25">
      <c r="A76" s="39" t="s">
        <v>216</v>
      </c>
      <c r="B76" s="456" t="s">
        <v>267</v>
      </c>
      <c r="C76" s="139">
        <v>6</v>
      </c>
      <c r="D76" s="506">
        <v>5</v>
      </c>
      <c r="E76" s="507"/>
      <c r="F76" s="475">
        <v>138</v>
      </c>
      <c r="G76" s="480">
        <v>10</v>
      </c>
      <c r="H76" s="483">
        <v>128</v>
      </c>
      <c r="I76" s="53">
        <v>8</v>
      </c>
      <c r="J76" s="12">
        <v>2</v>
      </c>
      <c r="K76" s="12"/>
      <c r="L76" s="184">
        <f>SUM(AZ76+BF76+BL76+AT76)</f>
        <v>118</v>
      </c>
      <c r="M76" s="12"/>
      <c r="N76" s="12"/>
      <c r="O76" s="12"/>
      <c r="P76" s="12"/>
      <c r="Q76" s="457"/>
      <c r="R76" s="39"/>
      <c r="S76" s="39"/>
      <c r="T76" s="39"/>
      <c r="U76" s="39"/>
      <c r="V76" s="184"/>
      <c r="W76" s="457"/>
      <c r="X76" s="39"/>
      <c r="Y76" s="39"/>
      <c r="Z76" s="39"/>
      <c r="AA76" s="39"/>
      <c r="AB76" s="184"/>
      <c r="AC76" s="457"/>
      <c r="AD76" s="39"/>
      <c r="AE76" s="39"/>
      <c r="AF76" s="39"/>
      <c r="AG76" s="39"/>
      <c r="AH76" s="184"/>
      <c r="AI76" s="457"/>
      <c r="AJ76" s="39"/>
      <c r="AK76" s="39"/>
      <c r="AL76" s="39"/>
      <c r="AM76" s="39"/>
      <c r="AN76" s="184"/>
      <c r="AO76" s="457">
        <v>82</v>
      </c>
      <c r="AP76" s="39">
        <v>4</v>
      </c>
      <c r="AQ76" s="39"/>
      <c r="AR76" s="39"/>
      <c r="AS76" s="39"/>
      <c r="AT76" s="184">
        <v>78</v>
      </c>
      <c r="AU76" s="457">
        <v>56</v>
      </c>
      <c r="AV76" s="39">
        <v>6</v>
      </c>
      <c r="AW76" s="39">
        <v>8</v>
      </c>
      <c r="AX76" s="39">
        <v>2</v>
      </c>
      <c r="AY76" s="39"/>
      <c r="AZ76" s="184">
        <v>40</v>
      </c>
      <c r="BA76" s="422"/>
      <c r="BB76" s="423"/>
      <c r="BC76" s="423"/>
      <c r="BD76" s="423"/>
      <c r="BE76" s="423"/>
      <c r="BF76" s="422"/>
      <c r="BG76" s="424"/>
      <c r="BH76" s="9"/>
      <c r="BI76" s="9"/>
      <c r="BJ76" s="9"/>
      <c r="BK76" s="9"/>
      <c r="BL76" s="425"/>
    </row>
    <row r="77" spans="1:64" ht="31.5" x14ac:dyDescent="0.25">
      <c r="A77" s="39" t="s">
        <v>224</v>
      </c>
      <c r="B77" s="456" t="s">
        <v>268</v>
      </c>
      <c r="C77" s="508">
        <v>6.8</v>
      </c>
      <c r="D77" s="13">
        <v>7</v>
      </c>
      <c r="E77" s="91"/>
      <c r="F77" s="476">
        <v>142</v>
      </c>
      <c r="G77" s="480">
        <v>16</v>
      </c>
      <c r="H77" s="484">
        <v>126</v>
      </c>
      <c r="I77" s="53">
        <v>8</v>
      </c>
      <c r="J77" s="12">
        <v>10</v>
      </c>
      <c r="K77" s="12"/>
      <c r="L77" s="184">
        <f>SUM(AZ77+BF77+BL77+AT77)</f>
        <v>108</v>
      </c>
      <c r="M77" s="12"/>
      <c r="N77" s="12"/>
      <c r="O77" s="12"/>
      <c r="P77" s="12"/>
      <c r="Q77" s="457"/>
      <c r="R77" s="39"/>
      <c r="S77" s="39"/>
      <c r="T77" s="39"/>
      <c r="U77" s="39"/>
      <c r="V77" s="184"/>
      <c r="W77" s="457"/>
      <c r="X77" s="39"/>
      <c r="Y77" s="39"/>
      <c r="Z77" s="39"/>
      <c r="AA77" s="39"/>
      <c r="AB77" s="184"/>
      <c r="AC77" s="457"/>
      <c r="AD77" s="39"/>
      <c r="AE77" s="39"/>
      <c r="AF77" s="39"/>
      <c r="AG77" s="39"/>
      <c r="AH77" s="184"/>
      <c r="AI77" s="457"/>
      <c r="AJ77" s="39"/>
      <c r="AK77" s="39"/>
      <c r="AL77" s="39"/>
      <c r="AM77" s="39"/>
      <c r="AN77" s="184"/>
      <c r="AO77" s="457"/>
      <c r="AP77" s="39"/>
      <c r="AQ77" s="39"/>
      <c r="AR77" s="39"/>
      <c r="AS77" s="39"/>
      <c r="AT77" s="184"/>
      <c r="AU77" s="457">
        <v>46</v>
      </c>
      <c r="AV77" s="39">
        <v>6</v>
      </c>
      <c r="AW77" s="39"/>
      <c r="AX77" s="39"/>
      <c r="AY77" s="39"/>
      <c r="AZ77" s="184">
        <v>40</v>
      </c>
      <c r="BA77" s="425">
        <v>46</v>
      </c>
      <c r="BB77" s="9">
        <v>6</v>
      </c>
      <c r="BC77" s="9"/>
      <c r="BD77" s="9"/>
      <c r="BE77" s="9"/>
      <c r="BF77" s="425">
        <v>40</v>
      </c>
      <c r="BG77" s="424">
        <v>50</v>
      </c>
      <c r="BH77" s="9">
        <v>4</v>
      </c>
      <c r="BI77" s="9">
        <v>8</v>
      </c>
      <c r="BJ77" s="9">
        <v>10</v>
      </c>
      <c r="BK77" s="9"/>
      <c r="BL77" s="425">
        <v>28</v>
      </c>
    </row>
    <row r="78" spans="1:64" ht="15.75" hidden="1" x14ac:dyDescent="0.25">
      <c r="A78" s="39"/>
      <c r="B78" s="456"/>
      <c r="C78" s="508"/>
      <c r="D78" s="13"/>
      <c r="E78" s="91"/>
      <c r="F78" s="476"/>
      <c r="G78" s="480"/>
      <c r="H78" s="484"/>
      <c r="I78" s="53"/>
      <c r="J78" s="12"/>
      <c r="K78" s="12"/>
      <c r="L78" s="184"/>
      <c r="M78" s="12"/>
      <c r="N78" s="12"/>
      <c r="O78" s="12"/>
      <c r="P78" s="12"/>
      <c r="Q78" s="457"/>
      <c r="R78" s="39"/>
      <c r="S78" s="39"/>
      <c r="T78" s="39"/>
      <c r="U78" s="39"/>
      <c r="V78" s="184"/>
      <c r="W78" s="457"/>
      <c r="X78" s="39"/>
      <c r="Y78" s="39"/>
      <c r="Z78" s="39"/>
      <c r="AA78" s="39"/>
      <c r="AB78" s="184"/>
      <c r="AC78" s="457"/>
      <c r="AD78" s="39"/>
      <c r="AE78" s="39"/>
      <c r="AF78" s="39"/>
      <c r="AG78" s="39"/>
      <c r="AH78" s="184"/>
      <c r="AI78" s="457"/>
      <c r="AJ78" s="39"/>
      <c r="AK78" s="39"/>
      <c r="AL78" s="39"/>
      <c r="AM78" s="39"/>
      <c r="AN78" s="184"/>
      <c r="AO78" s="457"/>
      <c r="AP78" s="39"/>
      <c r="AQ78" s="39"/>
      <c r="AR78" s="39"/>
      <c r="AS78" s="39"/>
      <c r="AT78" s="184"/>
      <c r="AU78" s="457"/>
      <c r="AV78" s="39"/>
      <c r="AW78" s="39"/>
      <c r="AX78" s="39"/>
      <c r="AY78" s="39"/>
      <c r="AZ78" s="184"/>
      <c r="BA78" s="425"/>
      <c r="BB78" s="9"/>
      <c r="BC78" s="9"/>
      <c r="BD78" s="9"/>
      <c r="BE78" s="9"/>
      <c r="BF78" s="425"/>
      <c r="BG78" s="424"/>
      <c r="BH78" s="9"/>
      <c r="BI78" s="9"/>
      <c r="BJ78" s="9"/>
      <c r="BK78" s="9"/>
      <c r="BL78" s="425"/>
    </row>
    <row r="79" spans="1:64" ht="15.75" x14ac:dyDescent="0.25">
      <c r="A79" s="39" t="s">
        <v>269</v>
      </c>
      <c r="B79" s="456" t="s">
        <v>23</v>
      </c>
      <c r="C79" s="508"/>
      <c r="D79" s="13">
        <v>7</v>
      </c>
      <c r="E79" s="91"/>
      <c r="F79" s="476">
        <v>36</v>
      </c>
      <c r="G79" s="480"/>
      <c r="H79" s="484">
        <f t="shared" ref="H79" si="66">SUM(AU79+BA79+BG79+AO79)</f>
        <v>36</v>
      </c>
      <c r="I79" s="53"/>
      <c r="J79" s="12"/>
      <c r="K79" s="12"/>
      <c r="L79" s="184">
        <f t="shared" ref="L79:L81" si="67">SUM(AZ79+BF79+BL79+AT79)</f>
        <v>0</v>
      </c>
      <c r="M79" s="12"/>
      <c r="N79" s="12"/>
      <c r="O79" s="12"/>
      <c r="P79" s="12"/>
      <c r="Q79" s="457"/>
      <c r="R79" s="39"/>
      <c r="S79" s="39"/>
      <c r="T79" s="39"/>
      <c r="U79" s="39"/>
      <c r="V79" s="184"/>
      <c r="W79" s="457"/>
      <c r="X79" s="39"/>
      <c r="Y79" s="39"/>
      <c r="Z79" s="39"/>
      <c r="AA79" s="39"/>
      <c r="AB79" s="184"/>
      <c r="AC79" s="457"/>
      <c r="AD79" s="39"/>
      <c r="AE79" s="39"/>
      <c r="AF79" s="39"/>
      <c r="AG79" s="39"/>
      <c r="AH79" s="184"/>
      <c r="AI79" s="457"/>
      <c r="AJ79" s="39"/>
      <c r="AK79" s="39"/>
      <c r="AL79" s="39"/>
      <c r="AM79" s="39"/>
      <c r="AN79" s="184"/>
      <c r="AO79" s="457"/>
      <c r="AP79" s="39"/>
      <c r="AQ79" s="39"/>
      <c r="AR79" s="39"/>
      <c r="AS79" s="39"/>
      <c r="AT79" s="184"/>
      <c r="AU79" s="457"/>
      <c r="AV79" s="39"/>
      <c r="AW79" s="39"/>
      <c r="AX79" s="39"/>
      <c r="AY79" s="39"/>
      <c r="AZ79" s="458"/>
      <c r="BA79" s="425">
        <v>36</v>
      </c>
      <c r="BB79" s="9"/>
      <c r="BC79" s="9"/>
      <c r="BD79" s="9"/>
      <c r="BE79" s="9">
        <v>36</v>
      </c>
      <c r="BF79" s="425"/>
      <c r="BG79" s="424"/>
      <c r="BH79" s="9"/>
      <c r="BI79" s="9"/>
      <c r="BJ79" s="9"/>
      <c r="BK79" s="9"/>
      <c r="BL79" s="425"/>
    </row>
    <row r="80" spans="1:64" ht="15.75" x14ac:dyDescent="0.25">
      <c r="A80" s="6" t="s">
        <v>217</v>
      </c>
      <c r="B80" s="450" t="s">
        <v>194</v>
      </c>
      <c r="C80" s="127"/>
      <c r="D80" s="11">
        <v>7.8</v>
      </c>
      <c r="E80" s="509"/>
      <c r="F80" s="476">
        <v>180</v>
      </c>
      <c r="G80" s="481"/>
      <c r="H80" s="484">
        <f>SUM(AU80+BA80+BG80+AO80)</f>
        <v>180</v>
      </c>
      <c r="I80" s="89"/>
      <c r="J80" s="10"/>
      <c r="K80" s="10"/>
      <c r="L80" s="184">
        <f t="shared" si="67"/>
        <v>0</v>
      </c>
      <c r="M80" s="10"/>
      <c r="N80" s="10"/>
      <c r="O80" s="10"/>
      <c r="P80" s="10"/>
      <c r="Q80" s="345"/>
      <c r="R80" s="6"/>
      <c r="S80" s="6"/>
      <c r="T80" s="6"/>
      <c r="U80" s="6"/>
      <c r="V80" s="185"/>
      <c r="W80" s="345"/>
      <c r="X80" s="6"/>
      <c r="Y80" s="6"/>
      <c r="Z80" s="6"/>
      <c r="AA80" s="6"/>
      <c r="AB80" s="185"/>
      <c r="AC80" s="345"/>
      <c r="AD80" s="6"/>
      <c r="AE80" s="6"/>
      <c r="AF80" s="6"/>
      <c r="AG80" s="6"/>
      <c r="AH80" s="185"/>
      <c r="AI80" s="345"/>
      <c r="AJ80" s="6"/>
      <c r="AK80" s="6"/>
      <c r="AL80" s="6"/>
      <c r="AM80" s="6"/>
      <c r="AN80" s="185"/>
      <c r="AO80" s="345"/>
      <c r="AP80" s="6"/>
      <c r="AQ80" s="6"/>
      <c r="AR80" s="6"/>
      <c r="AS80" s="6"/>
      <c r="AT80" s="185"/>
      <c r="AU80" s="345"/>
      <c r="AV80" s="6"/>
      <c r="AW80" s="6"/>
      <c r="AX80" s="6"/>
      <c r="AY80" s="6"/>
      <c r="AZ80" s="370"/>
      <c r="BA80" s="367">
        <v>36</v>
      </c>
      <c r="BB80" s="152"/>
      <c r="BC80" s="152"/>
      <c r="BD80" s="152"/>
      <c r="BE80" s="152">
        <v>36</v>
      </c>
      <c r="BF80" s="367"/>
      <c r="BG80" s="366">
        <v>144</v>
      </c>
      <c r="BH80" s="152"/>
      <c r="BI80" s="152"/>
      <c r="BJ80" s="152"/>
      <c r="BK80" s="152">
        <v>144</v>
      </c>
      <c r="BL80" s="367"/>
    </row>
    <row r="81" spans="1:64" s="363" customFormat="1" ht="16.5" thickBot="1" x14ac:dyDescent="0.3">
      <c r="A81" s="6"/>
      <c r="B81" s="450" t="s">
        <v>218</v>
      </c>
      <c r="C81" s="512"/>
      <c r="D81" s="513"/>
      <c r="E81" s="514"/>
      <c r="F81" s="477"/>
      <c r="G81" s="481"/>
      <c r="H81" s="486">
        <f t="shared" ref="H81" si="68">SUM(AU81+BA81+BG81+AO81)</f>
        <v>0</v>
      </c>
      <c r="I81" s="478"/>
      <c r="J81" s="42"/>
      <c r="K81" s="42"/>
      <c r="L81" s="487">
        <f t="shared" si="67"/>
        <v>0</v>
      </c>
      <c r="M81" s="42"/>
      <c r="N81" s="42"/>
      <c r="O81" s="42"/>
      <c r="P81" s="42"/>
      <c r="Q81" s="453"/>
      <c r="R81" s="43"/>
      <c r="S81" s="43"/>
      <c r="T81" s="43"/>
      <c r="U81" s="43"/>
      <c r="V81" s="431"/>
      <c r="W81" s="453"/>
      <c r="X81" s="43"/>
      <c r="Y81" s="43"/>
      <c r="Z81" s="43"/>
      <c r="AA81" s="43"/>
      <c r="AB81" s="431"/>
      <c r="AC81" s="453"/>
      <c r="AD81" s="43"/>
      <c r="AE81" s="43"/>
      <c r="AF81" s="43"/>
      <c r="AG81" s="43"/>
      <c r="AH81" s="431"/>
      <c r="AI81" s="453"/>
      <c r="AJ81" s="43"/>
      <c r="AK81" s="43"/>
      <c r="AL81" s="43"/>
      <c r="AM81" s="43"/>
      <c r="AN81" s="431"/>
      <c r="AO81" s="453"/>
      <c r="AP81" s="43"/>
      <c r="AQ81" s="43"/>
      <c r="AR81" s="43"/>
      <c r="AS81" s="43"/>
      <c r="AT81" s="431"/>
      <c r="AU81" s="453"/>
      <c r="AV81" s="43"/>
      <c r="AW81" s="43"/>
      <c r="AX81" s="43"/>
      <c r="AY81" s="43"/>
      <c r="AZ81" s="455"/>
      <c r="BA81" s="488"/>
      <c r="BB81" s="428"/>
      <c r="BC81" s="428"/>
      <c r="BD81" s="428"/>
      <c r="BE81" s="428"/>
      <c r="BF81" s="429"/>
      <c r="BG81" s="419"/>
      <c r="BH81" s="351"/>
      <c r="BI81" s="351"/>
      <c r="BJ81" s="351"/>
      <c r="BK81" s="351"/>
      <c r="BL81" s="420"/>
    </row>
    <row r="82" spans="1:64" ht="37.5" customHeight="1" thickBot="1" x14ac:dyDescent="0.25">
      <c r="A82" s="635" t="s">
        <v>270</v>
      </c>
      <c r="B82" s="636" t="s">
        <v>271</v>
      </c>
      <c r="C82" s="637" t="s">
        <v>94</v>
      </c>
      <c r="D82" s="497"/>
      <c r="E82" s="498"/>
      <c r="F82" s="410">
        <f>SUM(G82:H82)</f>
        <v>246</v>
      </c>
      <c r="G82" s="485">
        <f t="shared" ref="G82" si="69">SUM(G83:G86)</f>
        <v>12</v>
      </c>
      <c r="H82" s="580">
        <f>SUM(H83:H87)</f>
        <v>234</v>
      </c>
      <c r="I82" s="421">
        <f t="shared" ref="I82:AN82" si="70">SUM(I83:I87)</f>
        <v>8</v>
      </c>
      <c r="J82" s="421">
        <f t="shared" si="70"/>
        <v>2</v>
      </c>
      <c r="K82" s="421">
        <f t="shared" si="70"/>
        <v>72</v>
      </c>
      <c r="L82" s="421">
        <f t="shared" si="70"/>
        <v>152</v>
      </c>
      <c r="M82" s="421">
        <f t="shared" si="70"/>
        <v>24</v>
      </c>
      <c r="N82" s="421">
        <f t="shared" si="70"/>
        <v>24</v>
      </c>
      <c r="O82" s="421">
        <f t="shared" si="70"/>
        <v>24</v>
      </c>
      <c r="P82" s="421">
        <f t="shared" si="70"/>
        <v>0</v>
      </c>
      <c r="Q82" s="421">
        <f t="shared" si="70"/>
        <v>0</v>
      </c>
      <c r="R82" s="421">
        <f t="shared" si="70"/>
        <v>0</v>
      </c>
      <c r="S82" s="421">
        <f t="shared" si="70"/>
        <v>0</v>
      </c>
      <c r="T82" s="421">
        <f t="shared" si="70"/>
        <v>0</v>
      </c>
      <c r="U82" s="421">
        <f t="shared" si="70"/>
        <v>0</v>
      </c>
      <c r="V82" s="421">
        <f t="shared" si="70"/>
        <v>0</v>
      </c>
      <c r="W82" s="421">
        <f t="shared" si="70"/>
        <v>0</v>
      </c>
      <c r="X82" s="421">
        <f t="shared" si="70"/>
        <v>0</v>
      </c>
      <c r="Y82" s="421">
        <f t="shared" si="70"/>
        <v>0</v>
      </c>
      <c r="Z82" s="421">
        <f t="shared" si="70"/>
        <v>0</v>
      </c>
      <c r="AA82" s="421">
        <f t="shared" si="70"/>
        <v>0</v>
      </c>
      <c r="AB82" s="421">
        <f t="shared" si="70"/>
        <v>0</v>
      </c>
      <c r="AC82" s="421">
        <f t="shared" si="70"/>
        <v>0</v>
      </c>
      <c r="AD82" s="421">
        <f t="shared" si="70"/>
        <v>0</v>
      </c>
      <c r="AE82" s="421">
        <f t="shared" si="70"/>
        <v>0</v>
      </c>
      <c r="AF82" s="421">
        <f t="shared" si="70"/>
        <v>0</v>
      </c>
      <c r="AG82" s="421">
        <f t="shared" si="70"/>
        <v>0</v>
      </c>
      <c r="AH82" s="421">
        <f t="shared" si="70"/>
        <v>0</v>
      </c>
      <c r="AI82" s="421">
        <f t="shared" si="70"/>
        <v>0</v>
      </c>
      <c r="AJ82" s="421">
        <f t="shared" si="70"/>
        <v>0</v>
      </c>
      <c r="AK82" s="421">
        <f t="shared" si="70"/>
        <v>0</v>
      </c>
      <c r="AL82" s="421">
        <f t="shared" si="70"/>
        <v>0</v>
      </c>
      <c r="AM82" s="421">
        <f t="shared" si="70"/>
        <v>0</v>
      </c>
      <c r="AN82" s="421">
        <f t="shared" si="70"/>
        <v>0</v>
      </c>
      <c r="AO82" s="421">
        <f>SUM(AO83:AO87)</f>
        <v>56</v>
      </c>
      <c r="AP82" s="421">
        <f t="shared" ref="AP82:BL82" si="71">SUM(AP83:AP87)</f>
        <v>4</v>
      </c>
      <c r="AQ82" s="421">
        <f t="shared" si="71"/>
        <v>0</v>
      </c>
      <c r="AR82" s="421">
        <f t="shared" si="71"/>
        <v>0</v>
      </c>
      <c r="AS82" s="421">
        <f t="shared" si="71"/>
        <v>0</v>
      </c>
      <c r="AT82" s="421">
        <f t="shared" si="71"/>
        <v>52</v>
      </c>
      <c r="AU82" s="421">
        <f>SUM(AU83:AU87)</f>
        <v>190</v>
      </c>
      <c r="AV82" s="421">
        <f t="shared" si="71"/>
        <v>8</v>
      </c>
      <c r="AW82" s="421">
        <f t="shared" si="71"/>
        <v>8</v>
      </c>
      <c r="AX82" s="421">
        <f t="shared" si="71"/>
        <v>2</v>
      </c>
      <c r="AY82" s="421">
        <f t="shared" si="71"/>
        <v>72</v>
      </c>
      <c r="AZ82" s="421">
        <f t="shared" si="71"/>
        <v>100</v>
      </c>
      <c r="BA82" s="421">
        <f>SUM(BA83:BA87)</f>
        <v>0</v>
      </c>
      <c r="BB82" s="421">
        <f t="shared" si="71"/>
        <v>0</v>
      </c>
      <c r="BC82" s="421">
        <f t="shared" si="71"/>
        <v>0</v>
      </c>
      <c r="BD82" s="421">
        <f t="shared" si="71"/>
        <v>0</v>
      </c>
      <c r="BE82" s="421">
        <f t="shared" si="71"/>
        <v>0</v>
      </c>
      <c r="BF82" s="421">
        <f t="shared" si="71"/>
        <v>0</v>
      </c>
      <c r="BG82" s="421">
        <f t="shared" si="71"/>
        <v>0</v>
      </c>
      <c r="BH82" s="421">
        <f t="shared" si="71"/>
        <v>0</v>
      </c>
      <c r="BI82" s="421">
        <f t="shared" si="71"/>
        <v>0</v>
      </c>
      <c r="BJ82" s="421">
        <f t="shared" si="71"/>
        <v>0</v>
      </c>
      <c r="BK82" s="421">
        <f t="shared" si="71"/>
        <v>0</v>
      </c>
      <c r="BL82" s="490">
        <f t="shared" si="71"/>
        <v>0</v>
      </c>
    </row>
    <row r="83" spans="1:64" ht="23.25" customHeight="1" thickBot="1" x14ac:dyDescent="0.3">
      <c r="A83" s="112" t="s">
        <v>272</v>
      </c>
      <c r="B83" s="225" t="s">
        <v>273</v>
      </c>
      <c r="C83" s="139">
        <v>6</v>
      </c>
      <c r="D83" s="135">
        <v>5</v>
      </c>
      <c r="E83" s="132"/>
      <c r="F83" s="475">
        <f t="shared" ref="F83:F86" si="72">SUM(G83:H83)</f>
        <v>174</v>
      </c>
      <c r="G83" s="53">
        <v>12</v>
      </c>
      <c r="H83" s="220">
        <v>162</v>
      </c>
      <c r="I83" s="12">
        <v>8</v>
      </c>
      <c r="J83" s="12">
        <v>2</v>
      </c>
      <c r="K83" s="111"/>
      <c r="L83" s="184">
        <f>SUM(BF83+BL83+AZ83+AT83)</f>
        <v>152</v>
      </c>
      <c r="M83" s="12">
        <v>24</v>
      </c>
      <c r="N83" s="12">
        <v>24</v>
      </c>
      <c r="O83" s="12">
        <v>24</v>
      </c>
      <c r="P83" s="134"/>
      <c r="Q83" s="330"/>
      <c r="R83" s="147"/>
      <c r="S83" s="147"/>
      <c r="T83" s="147"/>
      <c r="U83" s="147"/>
      <c r="V83" s="195"/>
      <c r="W83" s="179"/>
      <c r="X83" s="147"/>
      <c r="Y83" s="147"/>
      <c r="Z83" s="147"/>
      <c r="AA83" s="147"/>
      <c r="AB83" s="198"/>
      <c r="AC83" s="164"/>
      <c r="AD83" s="39"/>
      <c r="AE83" s="147"/>
      <c r="AF83" s="39"/>
      <c r="AG83" s="147"/>
      <c r="AH83" s="192"/>
      <c r="AI83" s="164"/>
      <c r="AJ83" s="39"/>
      <c r="AK83" s="138"/>
      <c r="AL83" s="39"/>
      <c r="AM83" s="77"/>
      <c r="AN83" s="192"/>
      <c r="AO83" s="164">
        <v>56</v>
      </c>
      <c r="AP83" s="39">
        <v>4</v>
      </c>
      <c r="AQ83" s="39"/>
      <c r="AR83" s="39"/>
      <c r="AS83" s="39"/>
      <c r="AT83" s="200">
        <v>52</v>
      </c>
      <c r="AU83" s="176">
        <v>118</v>
      </c>
      <c r="AV83" s="39">
        <v>8</v>
      </c>
      <c r="AW83" s="39">
        <v>8</v>
      </c>
      <c r="AX83" s="39">
        <v>2</v>
      </c>
      <c r="AY83" s="39"/>
      <c r="AZ83" s="192">
        <v>100</v>
      </c>
      <c r="BA83" s="430"/>
      <c r="BB83" s="423"/>
      <c r="BC83" s="423"/>
      <c r="BD83" s="423"/>
      <c r="BE83" s="423"/>
      <c r="BF83" s="422"/>
      <c r="BG83" s="424"/>
      <c r="BH83" s="9"/>
      <c r="BI83" s="9"/>
      <c r="BJ83" s="9"/>
      <c r="BK83" s="9"/>
      <c r="BL83" s="425"/>
    </row>
    <row r="84" spans="1:64" ht="0.75" customHeight="1" x14ac:dyDescent="0.2">
      <c r="A84" s="112"/>
      <c r="B84" s="329"/>
      <c r="C84" s="87"/>
      <c r="D84" s="39"/>
      <c r="E84" s="132"/>
      <c r="F84" s="476"/>
      <c r="G84" s="53"/>
      <c r="H84" s="220">
        <f t="shared" ref="H84:H96" si="73">SUM(BA84+BG84+AU84+AO84)</f>
        <v>0</v>
      </c>
      <c r="I84" s="111"/>
      <c r="J84" s="12"/>
      <c r="K84" s="111"/>
      <c r="L84" s="184"/>
      <c r="M84" s="12"/>
      <c r="N84" s="12"/>
      <c r="O84" s="12"/>
      <c r="P84" s="134"/>
      <c r="Q84" s="330"/>
      <c r="R84" s="147"/>
      <c r="S84" s="147"/>
      <c r="T84" s="147"/>
      <c r="U84" s="147"/>
      <c r="V84" s="195"/>
      <c r="W84" s="179"/>
      <c r="X84" s="147"/>
      <c r="Y84" s="147"/>
      <c r="Z84" s="147"/>
      <c r="AA84" s="147"/>
      <c r="AB84" s="198"/>
      <c r="AC84" s="164"/>
      <c r="AD84" s="39"/>
      <c r="AE84" s="147"/>
      <c r="AF84" s="39"/>
      <c r="AG84" s="147"/>
      <c r="AH84" s="192"/>
      <c r="AI84" s="164"/>
      <c r="AJ84" s="39"/>
      <c r="AK84" s="138"/>
      <c r="AL84" s="39"/>
      <c r="AM84" s="138"/>
      <c r="AN84" s="192"/>
      <c r="AO84" s="181"/>
      <c r="AP84" s="147"/>
      <c r="AQ84" s="147"/>
      <c r="AR84" s="147"/>
      <c r="AS84" s="147"/>
      <c r="AT84" s="195"/>
      <c r="AU84" s="179"/>
      <c r="AV84" s="147"/>
      <c r="AW84" s="147"/>
      <c r="AX84" s="147"/>
      <c r="AY84" s="147"/>
      <c r="AZ84" s="198"/>
      <c r="BA84" s="173"/>
      <c r="BB84" s="69"/>
      <c r="BC84" s="69"/>
      <c r="BD84" s="69"/>
      <c r="BE84" s="69"/>
      <c r="BF84" s="446"/>
      <c r="BG84" s="173"/>
      <c r="BH84" s="69"/>
      <c r="BI84" s="69"/>
      <c r="BJ84" s="69"/>
      <c r="BK84" s="69"/>
      <c r="BL84" s="446"/>
    </row>
    <row r="85" spans="1:64" ht="15.75" hidden="1" customHeight="1" x14ac:dyDescent="0.2">
      <c r="A85" s="8" t="s">
        <v>274</v>
      </c>
      <c r="B85" s="226" t="s">
        <v>23</v>
      </c>
      <c r="C85" s="136"/>
      <c r="D85" s="13"/>
      <c r="E85" s="132"/>
      <c r="F85" s="476">
        <f t="shared" si="72"/>
        <v>0</v>
      </c>
      <c r="G85" s="53"/>
      <c r="H85" s="220">
        <f t="shared" si="73"/>
        <v>0</v>
      </c>
      <c r="I85" s="111"/>
      <c r="J85" s="111"/>
      <c r="K85" s="12"/>
      <c r="L85" s="184">
        <f t="shared" ref="L85:L86" si="74">SUM(AT85+AZ85)</f>
        <v>0</v>
      </c>
      <c r="M85" s="12"/>
      <c r="N85" s="12"/>
      <c r="O85" s="12"/>
      <c r="P85" s="134"/>
      <c r="Q85" s="169"/>
      <c r="R85" s="147"/>
      <c r="S85" s="147"/>
      <c r="T85" s="147"/>
      <c r="U85" s="147"/>
      <c r="V85" s="195"/>
      <c r="W85" s="169"/>
      <c r="X85" s="147"/>
      <c r="Y85" s="147"/>
      <c r="Z85" s="147"/>
      <c r="AA85" s="147"/>
      <c r="AB85" s="198"/>
      <c r="AC85" s="167"/>
      <c r="AD85" s="39"/>
      <c r="AE85" s="147"/>
      <c r="AF85" s="39"/>
      <c r="AG85" s="147"/>
      <c r="AH85" s="192"/>
      <c r="AI85" s="164"/>
      <c r="AJ85" s="39"/>
      <c r="AK85" s="138"/>
      <c r="AL85" s="138"/>
      <c r="AM85" s="39"/>
      <c r="AN85" s="193"/>
      <c r="AO85" s="181"/>
      <c r="AP85" s="147"/>
      <c r="AQ85" s="147"/>
      <c r="AR85" s="147"/>
      <c r="AS85" s="147"/>
      <c r="AT85" s="195"/>
      <c r="AU85" s="169"/>
      <c r="AV85" s="147"/>
      <c r="AW85" s="147"/>
      <c r="AX85" s="147"/>
      <c r="AY85" s="147"/>
      <c r="AZ85" s="195"/>
      <c r="BA85" s="345"/>
      <c r="BB85" s="6"/>
      <c r="BC85" s="6"/>
      <c r="BD85" s="6"/>
      <c r="BE85" s="6"/>
      <c r="BF85" s="185"/>
      <c r="BG85" s="345"/>
      <c r="BH85" s="6"/>
      <c r="BI85" s="6"/>
      <c r="BJ85" s="6"/>
      <c r="BK85" s="6"/>
      <c r="BL85" s="185"/>
    </row>
    <row r="86" spans="1:64" ht="15.75" x14ac:dyDescent="0.25">
      <c r="A86" s="331" t="s">
        <v>275</v>
      </c>
      <c r="B86" s="332" t="s">
        <v>194</v>
      </c>
      <c r="C86" s="333"/>
      <c r="D86" s="334">
        <v>6</v>
      </c>
      <c r="E86" s="335"/>
      <c r="F86" s="476">
        <f t="shared" si="72"/>
        <v>72</v>
      </c>
      <c r="G86" s="52"/>
      <c r="H86" s="220">
        <f t="shared" si="73"/>
        <v>72</v>
      </c>
      <c r="I86" s="38"/>
      <c r="J86" s="38"/>
      <c r="K86" s="38">
        <v>72</v>
      </c>
      <c r="L86" s="184">
        <f t="shared" si="74"/>
        <v>0</v>
      </c>
      <c r="M86" s="38"/>
      <c r="N86" s="38"/>
      <c r="O86" s="334"/>
      <c r="P86" s="339"/>
      <c r="Q86" s="336"/>
      <c r="R86" s="337"/>
      <c r="S86" s="337"/>
      <c r="T86" s="337"/>
      <c r="U86" s="337"/>
      <c r="V86" s="338"/>
      <c r="W86" s="336"/>
      <c r="X86" s="337"/>
      <c r="Y86" s="337"/>
      <c r="Z86" s="337"/>
      <c r="AA86" s="337"/>
      <c r="AB86" s="338"/>
      <c r="AC86" s="177"/>
      <c r="AD86" s="337"/>
      <c r="AE86" s="337"/>
      <c r="AF86" s="337"/>
      <c r="AG86" s="337"/>
      <c r="AH86" s="338"/>
      <c r="AI86" s="168"/>
      <c r="AJ86" s="337"/>
      <c r="AK86" s="337"/>
      <c r="AL86" s="337"/>
      <c r="AM86" s="109"/>
      <c r="AN86" s="338"/>
      <c r="AO86" s="168"/>
      <c r="AP86" s="337"/>
      <c r="AQ86" s="337"/>
      <c r="AR86" s="337"/>
      <c r="AS86" s="337"/>
      <c r="AT86" s="338"/>
      <c r="AU86" s="168">
        <v>72</v>
      </c>
      <c r="AV86" s="337"/>
      <c r="AW86" s="337"/>
      <c r="AX86" s="109"/>
      <c r="AY86" s="337">
        <v>72</v>
      </c>
      <c r="AZ86" s="338"/>
      <c r="BA86" s="164"/>
      <c r="BB86" s="39"/>
      <c r="BC86" s="39"/>
      <c r="BD86" s="39"/>
      <c r="BE86" s="39"/>
      <c r="BF86" s="192"/>
      <c r="BG86" s="164"/>
      <c r="BH86" s="39"/>
      <c r="BI86" s="39"/>
      <c r="BJ86" s="39"/>
      <c r="BK86" s="39"/>
      <c r="BL86" s="192"/>
    </row>
    <row r="87" spans="1:64" s="363" customFormat="1" ht="15.75" x14ac:dyDescent="0.25">
      <c r="A87" s="152"/>
      <c r="B87" s="343"/>
      <c r="C87" s="344"/>
      <c r="D87" s="344"/>
      <c r="E87" s="352"/>
      <c r="F87" s="476"/>
      <c r="G87" s="89"/>
      <c r="H87" s="220"/>
      <c r="I87" s="10"/>
      <c r="J87" s="10"/>
      <c r="K87" s="10"/>
      <c r="L87" s="184"/>
      <c r="M87" s="10"/>
      <c r="N87" s="10"/>
      <c r="O87" s="344"/>
      <c r="P87" s="344"/>
      <c r="Q87" s="366"/>
      <c r="R87" s="152"/>
      <c r="S87" s="152"/>
      <c r="T87" s="152"/>
      <c r="U87" s="152"/>
      <c r="V87" s="367"/>
      <c r="W87" s="366"/>
      <c r="X87" s="152"/>
      <c r="Y87" s="152"/>
      <c r="Z87" s="152"/>
      <c r="AA87" s="152"/>
      <c r="AB87" s="367"/>
      <c r="AC87" s="345"/>
      <c r="AD87" s="152"/>
      <c r="AE87" s="152"/>
      <c r="AF87" s="152"/>
      <c r="AG87" s="152"/>
      <c r="AH87" s="367"/>
      <c r="AI87" s="345"/>
      <c r="AJ87" s="152"/>
      <c r="AK87" s="152"/>
      <c r="AL87" s="152"/>
      <c r="AM87" s="6"/>
      <c r="AN87" s="367"/>
      <c r="AO87" s="345"/>
      <c r="AP87" s="152"/>
      <c r="AQ87" s="152"/>
      <c r="AR87" s="152"/>
      <c r="AS87" s="152"/>
      <c r="AT87" s="367"/>
      <c r="AU87" s="345"/>
      <c r="AV87" s="152"/>
      <c r="AW87" s="152"/>
      <c r="AX87" s="6"/>
      <c r="AY87" s="152"/>
      <c r="AZ87" s="367"/>
      <c r="BA87" s="167"/>
      <c r="BB87" s="6"/>
      <c r="BC87" s="6"/>
      <c r="BD87" s="6"/>
      <c r="BE87" s="6"/>
      <c r="BF87" s="193"/>
      <c r="BG87" s="167"/>
      <c r="BH87" s="6"/>
      <c r="BI87" s="6"/>
      <c r="BJ87" s="6"/>
      <c r="BK87" s="6"/>
      <c r="BL87" s="193"/>
    </row>
    <row r="88" spans="1:64" ht="1.5" customHeight="1" thickBot="1" x14ac:dyDescent="0.3">
      <c r="A88" s="543"/>
      <c r="B88" s="544"/>
      <c r="C88" s="334"/>
      <c r="D88" s="334"/>
      <c r="E88" s="335"/>
      <c r="F88" s="545"/>
      <c r="G88" s="173"/>
      <c r="H88" s="538">
        <f t="shared" si="73"/>
        <v>0</v>
      </c>
      <c r="I88" s="479"/>
      <c r="J88" s="479"/>
      <c r="K88" s="479"/>
      <c r="L88" s="479"/>
      <c r="M88" s="479"/>
      <c r="N88" s="479"/>
      <c r="O88" s="479"/>
      <c r="P88" s="479"/>
      <c r="Q88" s="479"/>
      <c r="R88" s="479">
        <f t="shared" ref="R88:AH88" si="75">SUM(R89:R92)</f>
        <v>0</v>
      </c>
      <c r="S88" s="479">
        <f t="shared" si="75"/>
        <v>0</v>
      </c>
      <c r="T88" s="479">
        <f t="shared" si="75"/>
        <v>0</v>
      </c>
      <c r="U88" s="479">
        <f t="shared" si="75"/>
        <v>0</v>
      </c>
      <c r="V88" s="479">
        <f t="shared" si="75"/>
        <v>0</v>
      </c>
      <c r="W88" s="479">
        <f t="shared" si="75"/>
        <v>0</v>
      </c>
      <c r="X88" s="479">
        <f t="shared" si="75"/>
        <v>0</v>
      </c>
      <c r="Y88" s="479">
        <f t="shared" si="75"/>
        <v>0</v>
      </c>
      <c r="Z88" s="479">
        <f t="shared" si="75"/>
        <v>0</v>
      </c>
      <c r="AA88" s="479">
        <f t="shared" si="75"/>
        <v>0</v>
      </c>
      <c r="AB88" s="479">
        <f t="shared" si="75"/>
        <v>0</v>
      </c>
      <c r="AC88" s="479">
        <f t="shared" si="75"/>
        <v>0</v>
      </c>
      <c r="AD88" s="479">
        <f t="shared" si="75"/>
        <v>0</v>
      </c>
      <c r="AE88" s="479">
        <f t="shared" si="75"/>
        <v>0</v>
      </c>
      <c r="AF88" s="479">
        <f t="shared" si="75"/>
        <v>0</v>
      </c>
      <c r="AG88" s="479">
        <f t="shared" si="75"/>
        <v>0</v>
      </c>
      <c r="AH88" s="479">
        <f t="shared" si="75"/>
        <v>0</v>
      </c>
      <c r="AI88" s="479">
        <v>0</v>
      </c>
      <c r="AJ88" s="479">
        <f>SUM(AJ89:AJ92)</f>
        <v>0</v>
      </c>
      <c r="AK88" s="479">
        <f>SUM(AK89:AK92)</f>
        <v>0</v>
      </c>
      <c r="AL88" s="479">
        <f>SUM(AL89:AL92)</f>
        <v>0</v>
      </c>
      <c r="AM88" s="479">
        <v>0</v>
      </c>
      <c r="AN88" s="479">
        <f>SUM(AN89:AN92)</f>
        <v>0</v>
      </c>
      <c r="AO88" s="479"/>
      <c r="AP88" s="479"/>
      <c r="AQ88" s="479"/>
      <c r="AR88" s="479"/>
      <c r="AS88" s="479"/>
      <c r="AT88" s="479"/>
      <c r="AU88" s="479"/>
      <c r="AV88" s="479"/>
      <c r="AW88" s="479"/>
      <c r="AX88" s="479"/>
      <c r="AY88" s="479"/>
      <c r="AZ88" s="479"/>
      <c r="BA88" s="165"/>
      <c r="BB88" s="43"/>
      <c r="BC88" s="43"/>
      <c r="BD88" s="43"/>
      <c r="BE88" s="43"/>
      <c r="BF88" s="194"/>
      <c r="BG88" s="165"/>
      <c r="BH88" s="43"/>
      <c r="BI88" s="43"/>
      <c r="BJ88" s="43"/>
      <c r="BK88" s="43"/>
      <c r="BL88" s="194"/>
    </row>
    <row r="89" spans="1:64" s="27" customFormat="1" ht="51" customHeight="1" thickBot="1" x14ac:dyDescent="0.3">
      <c r="A89" s="633" t="s">
        <v>302</v>
      </c>
      <c r="B89" s="634" t="s">
        <v>303</v>
      </c>
      <c r="C89" s="576" t="s">
        <v>94</v>
      </c>
      <c r="D89" s="576"/>
      <c r="E89" s="576"/>
      <c r="F89" s="482">
        <f>SUM(F90:F91)</f>
        <v>112</v>
      </c>
      <c r="G89" s="577">
        <f>SUM(G90:G91)</f>
        <v>0</v>
      </c>
      <c r="H89" s="582">
        <f>SUM(H90:H91)</f>
        <v>112</v>
      </c>
      <c r="I89" s="489">
        <f t="shared" ref="I89:AT89" si="76">SUM(I90:I91)</f>
        <v>0</v>
      </c>
      <c r="J89" s="421">
        <f t="shared" si="76"/>
        <v>0</v>
      </c>
      <c r="K89" s="421">
        <f t="shared" si="76"/>
        <v>112</v>
      </c>
      <c r="L89" s="421">
        <f t="shared" si="76"/>
        <v>0</v>
      </c>
      <c r="M89" s="421">
        <f t="shared" si="76"/>
        <v>0</v>
      </c>
      <c r="N89" s="421">
        <f t="shared" si="76"/>
        <v>0</v>
      </c>
      <c r="O89" s="421">
        <f t="shared" si="76"/>
        <v>0</v>
      </c>
      <c r="P89" s="421">
        <f t="shared" si="76"/>
        <v>0</v>
      </c>
      <c r="Q89" s="421">
        <f t="shared" si="76"/>
        <v>0</v>
      </c>
      <c r="R89" s="421">
        <f t="shared" si="76"/>
        <v>0</v>
      </c>
      <c r="S89" s="421">
        <f t="shared" si="76"/>
        <v>0</v>
      </c>
      <c r="T89" s="421">
        <f t="shared" si="76"/>
        <v>0</v>
      </c>
      <c r="U89" s="421">
        <f t="shared" si="76"/>
        <v>0</v>
      </c>
      <c r="V89" s="421">
        <f t="shared" si="76"/>
        <v>0</v>
      </c>
      <c r="W89" s="421">
        <f t="shared" si="76"/>
        <v>0</v>
      </c>
      <c r="X89" s="421">
        <f t="shared" si="76"/>
        <v>0</v>
      </c>
      <c r="Y89" s="421">
        <f t="shared" si="76"/>
        <v>0</v>
      </c>
      <c r="Z89" s="421">
        <f t="shared" si="76"/>
        <v>0</v>
      </c>
      <c r="AA89" s="421">
        <f t="shared" si="76"/>
        <v>0</v>
      </c>
      <c r="AB89" s="421">
        <f t="shared" si="76"/>
        <v>0</v>
      </c>
      <c r="AC89" s="421">
        <f t="shared" si="76"/>
        <v>0</v>
      </c>
      <c r="AD89" s="421">
        <f t="shared" si="76"/>
        <v>0</v>
      </c>
      <c r="AE89" s="421">
        <f t="shared" si="76"/>
        <v>0</v>
      </c>
      <c r="AF89" s="421">
        <f t="shared" si="76"/>
        <v>0</v>
      </c>
      <c r="AG89" s="421">
        <f t="shared" si="76"/>
        <v>0</v>
      </c>
      <c r="AH89" s="421">
        <f t="shared" si="76"/>
        <v>0</v>
      </c>
      <c r="AI89" s="421">
        <f t="shared" si="76"/>
        <v>0</v>
      </c>
      <c r="AJ89" s="421">
        <f t="shared" si="76"/>
        <v>0</v>
      </c>
      <c r="AK89" s="421">
        <f t="shared" si="76"/>
        <v>0</v>
      </c>
      <c r="AL89" s="421">
        <f t="shared" si="76"/>
        <v>0</v>
      </c>
      <c r="AM89" s="421">
        <f t="shared" si="76"/>
        <v>0</v>
      </c>
      <c r="AN89" s="421">
        <f t="shared" si="76"/>
        <v>0</v>
      </c>
      <c r="AO89" s="421">
        <f t="shared" si="76"/>
        <v>0</v>
      </c>
      <c r="AP89" s="421">
        <f t="shared" si="76"/>
        <v>0</v>
      </c>
      <c r="AQ89" s="421">
        <f t="shared" si="76"/>
        <v>0</v>
      </c>
      <c r="AR89" s="421">
        <f t="shared" si="76"/>
        <v>0</v>
      </c>
      <c r="AS89" s="421">
        <f t="shared" si="76"/>
        <v>0</v>
      </c>
      <c r="AT89" s="421">
        <f t="shared" si="76"/>
        <v>0</v>
      </c>
      <c r="AU89" s="421">
        <f>SUM(AU90:AU92)</f>
        <v>112</v>
      </c>
      <c r="AV89" s="421">
        <f t="shared" ref="AV89:AZ89" si="77">SUM(AV90:AV92)</f>
        <v>0</v>
      </c>
      <c r="AW89" s="421">
        <f t="shared" si="77"/>
        <v>0</v>
      </c>
      <c r="AX89" s="421">
        <f t="shared" si="77"/>
        <v>0</v>
      </c>
      <c r="AY89" s="421">
        <f t="shared" si="77"/>
        <v>72</v>
      </c>
      <c r="AZ89" s="421">
        <f t="shared" si="77"/>
        <v>40</v>
      </c>
      <c r="BA89" s="421"/>
      <c r="BB89" s="421"/>
      <c r="BC89" s="421"/>
      <c r="BD89" s="421"/>
      <c r="BE89" s="421"/>
      <c r="BF89" s="421"/>
      <c r="BG89" s="421"/>
      <c r="BH89" s="421"/>
      <c r="BI89" s="421"/>
      <c r="BJ89" s="421"/>
      <c r="BK89" s="421"/>
      <c r="BL89" s="490"/>
    </row>
    <row r="90" spans="1:64" s="27" customFormat="1" ht="34.5" customHeight="1" thickBot="1" x14ac:dyDescent="0.3">
      <c r="A90" s="572" t="s">
        <v>305</v>
      </c>
      <c r="B90" s="574" t="s">
        <v>306</v>
      </c>
      <c r="C90" s="557"/>
      <c r="D90" s="558">
        <v>6</v>
      </c>
      <c r="E90" s="559"/>
      <c r="F90" s="475">
        <v>40</v>
      </c>
      <c r="G90" s="481"/>
      <c r="H90" s="483">
        <f t="shared" si="73"/>
        <v>40</v>
      </c>
      <c r="I90" s="53"/>
      <c r="J90" s="12"/>
      <c r="K90" s="12">
        <v>40</v>
      </c>
      <c r="L90" s="12"/>
      <c r="M90" s="12"/>
      <c r="N90" s="12"/>
      <c r="O90" s="25"/>
      <c r="P90" s="25"/>
      <c r="Q90" s="673"/>
      <c r="R90" s="25"/>
      <c r="S90" s="25"/>
      <c r="T90" s="25"/>
      <c r="U90" s="25"/>
      <c r="V90" s="137"/>
      <c r="W90" s="674"/>
      <c r="X90" s="25"/>
      <c r="Y90" s="25"/>
      <c r="Z90" s="25"/>
      <c r="AA90" s="25"/>
      <c r="AB90" s="137"/>
      <c r="AC90" s="65"/>
      <c r="AD90" s="25"/>
      <c r="AE90" s="25"/>
      <c r="AF90" s="25"/>
      <c r="AG90" s="25"/>
      <c r="AH90" s="137"/>
      <c r="AI90" s="65"/>
      <c r="AJ90" s="25"/>
      <c r="AK90" s="25"/>
      <c r="AL90" s="25"/>
      <c r="AM90" s="12"/>
      <c r="AN90" s="137"/>
      <c r="AO90" s="65"/>
      <c r="AP90" s="25"/>
      <c r="AQ90" s="25"/>
      <c r="AR90" s="25"/>
      <c r="AS90" s="25"/>
      <c r="AT90" s="137"/>
      <c r="AU90" s="65">
        <v>40</v>
      </c>
      <c r="AV90" s="25"/>
      <c r="AW90" s="25"/>
      <c r="AX90" s="12"/>
      <c r="AY90" s="25"/>
      <c r="AZ90" s="92">
        <v>40</v>
      </c>
      <c r="BA90" s="675"/>
      <c r="BB90" s="676"/>
      <c r="BC90" s="676"/>
      <c r="BD90" s="676"/>
      <c r="BE90" s="676"/>
      <c r="BF90" s="677"/>
      <c r="BG90" s="675"/>
      <c r="BH90" s="676"/>
      <c r="BI90" s="676"/>
      <c r="BJ90" s="677"/>
      <c r="BK90" s="460"/>
      <c r="BL90" s="376"/>
    </row>
    <row r="91" spans="1:64" s="27" customFormat="1" ht="24" customHeight="1" thickBot="1" x14ac:dyDescent="0.3">
      <c r="A91" s="573" t="s">
        <v>304</v>
      </c>
      <c r="B91" s="575" t="s">
        <v>104</v>
      </c>
      <c r="C91" s="578"/>
      <c r="D91" s="568">
        <v>6</v>
      </c>
      <c r="E91" s="569"/>
      <c r="F91" s="477">
        <v>72</v>
      </c>
      <c r="G91" s="481"/>
      <c r="H91" s="581">
        <f t="shared" si="73"/>
        <v>72</v>
      </c>
      <c r="I91" s="89"/>
      <c r="J91" s="10"/>
      <c r="K91" s="10">
        <v>72</v>
      </c>
      <c r="L91" s="10"/>
      <c r="M91" s="10"/>
      <c r="N91" s="10"/>
      <c r="O91" s="344"/>
      <c r="P91" s="344"/>
      <c r="Q91" s="556"/>
      <c r="R91" s="344"/>
      <c r="S91" s="344"/>
      <c r="T91" s="344"/>
      <c r="U91" s="344"/>
      <c r="V91" s="352"/>
      <c r="W91" s="560"/>
      <c r="X91" s="344"/>
      <c r="Y91" s="344"/>
      <c r="Z91" s="344"/>
      <c r="AA91" s="344"/>
      <c r="AB91" s="352"/>
      <c r="AC91" s="566"/>
      <c r="AD91" s="344"/>
      <c r="AE91" s="344"/>
      <c r="AF91" s="344"/>
      <c r="AG91" s="344"/>
      <c r="AH91" s="352"/>
      <c r="AI91" s="566"/>
      <c r="AJ91" s="344"/>
      <c r="AK91" s="344"/>
      <c r="AL91" s="344"/>
      <c r="AM91" s="10"/>
      <c r="AN91" s="352"/>
      <c r="AO91" s="566"/>
      <c r="AP91" s="344"/>
      <c r="AQ91" s="344"/>
      <c r="AR91" s="344"/>
      <c r="AS91" s="344"/>
      <c r="AT91" s="352"/>
      <c r="AU91" s="566">
        <v>72</v>
      </c>
      <c r="AV91" s="344"/>
      <c r="AW91" s="344"/>
      <c r="AX91" s="10"/>
      <c r="AY91" s="344">
        <v>72</v>
      </c>
      <c r="AZ91" s="561"/>
      <c r="BA91" s="546"/>
      <c r="BB91" s="547"/>
      <c r="BC91" s="547"/>
      <c r="BD91" s="547"/>
      <c r="BE91" s="547"/>
      <c r="BF91" s="548"/>
      <c r="BG91" s="546"/>
      <c r="BH91" s="547"/>
      <c r="BI91" s="547"/>
      <c r="BJ91" s="547"/>
      <c r="BK91" s="549"/>
      <c r="BL91" s="550"/>
    </row>
    <row r="92" spans="1:64" s="554" customFormat="1" ht="22.5" hidden="1" customHeight="1" thickBot="1" x14ac:dyDescent="0.3">
      <c r="A92" s="571"/>
      <c r="B92" s="348"/>
      <c r="C92" s="25"/>
      <c r="D92" s="25"/>
      <c r="E92" s="25"/>
      <c r="F92" s="373"/>
      <c r="G92" s="12"/>
      <c r="H92" s="220"/>
      <c r="I92" s="25"/>
      <c r="J92" s="12"/>
      <c r="K92" s="12"/>
      <c r="L92" s="12"/>
      <c r="M92" s="12"/>
      <c r="N92" s="12"/>
      <c r="O92" s="25"/>
      <c r="P92" s="137"/>
      <c r="Q92" s="560"/>
      <c r="R92" s="344"/>
      <c r="S92" s="344"/>
      <c r="T92" s="344"/>
      <c r="U92" s="344"/>
      <c r="V92" s="352"/>
      <c r="W92" s="560"/>
      <c r="X92" s="344"/>
      <c r="Y92" s="344"/>
      <c r="Z92" s="344"/>
      <c r="AA92" s="344"/>
      <c r="AB92" s="352"/>
      <c r="AC92" s="567"/>
      <c r="AD92" s="568"/>
      <c r="AE92" s="568"/>
      <c r="AF92" s="568"/>
      <c r="AG92" s="568"/>
      <c r="AH92" s="570"/>
      <c r="AI92" s="567"/>
      <c r="AJ92" s="568"/>
      <c r="AK92" s="568"/>
      <c r="AL92" s="568"/>
      <c r="AM92" s="21"/>
      <c r="AN92" s="570"/>
      <c r="AO92" s="567"/>
      <c r="AP92" s="568"/>
      <c r="AQ92" s="568"/>
      <c r="AR92" s="568"/>
      <c r="AS92" s="568"/>
      <c r="AT92" s="570"/>
      <c r="AU92" s="567"/>
      <c r="AV92" s="568"/>
      <c r="AW92" s="568"/>
      <c r="AX92" s="21"/>
      <c r="AY92" s="568"/>
      <c r="AZ92" s="569"/>
      <c r="BA92" s="551"/>
      <c r="BB92" s="552"/>
      <c r="BC92" s="552"/>
      <c r="BD92" s="552"/>
      <c r="BE92" s="552"/>
      <c r="BF92" s="553"/>
      <c r="BG92" s="551"/>
      <c r="BH92" s="552"/>
      <c r="BI92" s="552"/>
      <c r="BJ92" s="552"/>
      <c r="BK92" s="552"/>
      <c r="BL92" s="553"/>
    </row>
    <row r="93" spans="1:64" ht="18.75" hidden="1" customHeight="1" thickBot="1" x14ac:dyDescent="0.3">
      <c r="A93" s="368"/>
      <c r="B93" s="364"/>
      <c r="C93" s="365"/>
      <c r="D93" s="365"/>
      <c r="E93" s="365"/>
      <c r="F93" s="373"/>
      <c r="G93" s="373"/>
      <c r="H93" s="220"/>
      <c r="I93" s="373"/>
      <c r="J93" s="373"/>
      <c r="K93" s="373"/>
      <c r="L93" s="373"/>
      <c r="M93" s="373"/>
      <c r="N93" s="373"/>
      <c r="O93" s="373"/>
      <c r="P93" s="555"/>
      <c r="Q93" s="562"/>
      <c r="R93" s="563"/>
      <c r="S93" s="563"/>
      <c r="T93" s="563"/>
      <c r="U93" s="563"/>
      <c r="V93" s="565"/>
      <c r="W93" s="562"/>
      <c r="X93" s="563"/>
      <c r="Y93" s="563"/>
      <c r="Z93" s="563"/>
      <c r="AA93" s="563"/>
      <c r="AB93" s="564"/>
      <c r="AC93" s="341"/>
      <c r="AD93" s="373"/>
      <c r="AE93" s="373"/>
      <c r="AF93" s="373"/>
      <c r="AG93" s="373"/>
      <c r="AH93" s="373"/>
      <c r="AI93" s="373"/>
      <c r="AJ93" s="373"/>
      <c r="AK93" s="373"/>
      <c r="AL93" s="373"/>
      <c r="AM93" s="373"/>
      <c r="AN93" s="373"/>
      <c r="AO93" s="373"/>
      <c r="AP93" s="373"/>
      <c r="AQ93" s="373"/>
      <c r="AR93" s="373"/>
      <c r="AS93" s="373"/>
      <c r="AT93" s="373"/>
      <c r="AU93" s="373"/>
      <c r="AV93" s="373"/>
      <c r="AW93" s="373"/>
      <c r="AX93" s="373"/>
      <c r="AY93" s="373"/>
      <c r="AZ93" s="373"/>
      <c r="BA93" s="106"/>
      <c r="BB93" s="16"/>
      <c r="BC93" s="16"/>
      <c r="BD93" s="16"/>
      <c r="BE93" s="16"/>
      <c r="BF93" s="58"/>
      <c r="BG93" s="106"/>
      <c r="BH93" s="16"/>
      <c r="BI93" s="16"/>
      <c r="BJ93" s="16"/>
      <c r="BK93" s="16"/>
      <c r="BL93" s="58"/>
    </row>
    <row r="94" spans="1:64" ht="20.25" hidden="1" customHeight="1" thickBot="1" x14ac:dyDescent="0.3">
      <c r="A94" s="346"/>
      <c r="B94" s="348"/>
      <c r="C94" s="25"/>
      <c r="D94" s="25"/>
      <c r="E94" s="25"/>
      <c r="F94" s="373"/>
      <c r="G94" s="12"/>
      <c r="H94" s="220">
        <f t="shared" si="73"/>
        <v>0</v>
      </c>
      <c r="I94" s="12"/>
      <c r="J94" s="12"/>
      <c r="K94" s="12"/>
      <c r="L94" s="184"/>
      <c r="M94" s="12"/>
      <c r="N94" s="12"/>
      <c r="O94" s="25"/>
      <c r="P94" s="137"/>
      <c r="Q94" s="354"/>
      <c r="R94" s="9"/>
      <c r="S94" s="9"/>
      <c r="T94" s="9"/>
      <c r="U94" s="9"/>
      <c r="V94" s="196"/>
      <c r="W94" s="354"/>
      <c r="X94" s="9"/>
      <c r="Y94" s="9"/>
      <c r="Z94" s="9"/>
      <c r="AA94" s="9"/>
      <c r="AB94" s="196"/>
      <c r="AC94" s="176"/>
      <c r="AD94" s="9"/>
      <c r="AE94" s="9"/>
      <c r="AF94" s="9"/>
      <c r="AG94" s="9"/>
      <c r="AH94" s="196"/>
      <c r="AI94" s="176"/>
      <c r="AJ94" s="9"/>
      <c r="AK94" s="9"/>
      <c r="AL94" s="9"/>
      <c r="AM94" s="39"/>
      <c r="AN94" s="192"/>
      <c r="AO94" s="176"/>
      <c r="AP94" s="9"/>
      <c r="AQ94" s="9"/>
      <c r="AR94" s="9"/>
      <c r="AS94" s="9"/>
      <c r="AT94" s="192"/>
      <c r="AU94" s="176"/>
      <c r="AV94" s="9"/>
      <c r="AW94" s="9"/>
      <c r="AX94" s="39"/>
      <c r="AY94" s="9"/>
      <c r="AZ94" s="196"/>
      <c r="BA94" s="106"/>
      <c r="BB94" s="16"/>
      <c r="BC94" s="16"/>
      <c r="BD94" s="16"/>
      <c r="BE94" s="16"/>
      <c r="BF94" s="58"/>
      <c r="BG94" s="106"/>
      <c r="BH94" s="16"/>
      <c r="BI94" s="16"/>
      <c r="BJ94" s="16"/>
      <c r="BK94" s="16"/>
      <c r="BL94" s="58"/>
    </row>
    <row r="95" spans="1:64" ht="15.75" hidden="1" customHeight="1" thickBot="1" x14ac:dyDescent="0.3">
      <c r="A95" s="347"/>
      <c r="B95" s="349"/>
      <c r="C95" s="350"/>
      <c r="D95" s="350"/>
      <c r="E95" s="350"/>
      <c r="F95" s="373"/>
      <c r="G95" s="42"/>
      <c r="H95" s="220">
        <f t="shared" si="73"/>
        <v>0</v>
      </c>
      <c r="I95" s="42"/>
      <c r="J95" s="42"/>
      <c r="K95" s="42"/>
      <c r="L95" s="184"/>
      <c r="M95" s="42"/>
      <c r="N95" s="42"/>
      <c r="O95" s="350"/>
      <c r="P95" s="353"/>
      <c r="Q95" s="355"/>
      <c r="R95" s="351"/>
      <c r="S95" s="351"/>
      <c r="T95" s="351"/>
      <c r="U95" s="351"/>
      <c r="V95" s="356"/>
      <c r="W95" s="355"/>
      <c r="X95" s="351"/>
      <c r="Y95" s="351"/>
      <c r="Z95" s="351"/>
      <c r="AA95" s="351"/>
      <c r="AB95" s="356"/>
      <c r="AC95" s="357"/>
      <c r="AD95" s="351"/>
      <c r="AE95" s="351"/>
      <c r="AF95" s="351"/>
      <c r="AG95" s="351"/>
      <c r="AH95" s="356"/>
      <c r="AI95" s="357"/>
      <c r="AJ95" s="351"/>
      <c r="AK95" s="351"/>
      <c r="AL95" s="351"/>
      <c r="AM95" s="43"/>
      <c r="AN95" s="196"/>
      <c r="AO95" s="357"/>
      <c r="AP95" s="351"/>
      <c r="AQ95" s="351"/>
      <c r="AR95" s="351"/>
      <c r="AS95" s="351"/>
      <c r="AT95" s="356"/>
      <c r="AU95" s="357"/>
      <c r="AV95" s="351"/>
      <c r="AW95" s="351"/>
      <c r="AX95" s="43"/>
      <c r="AY95" s="351"/>
      <c r="AZ95" s="356"/>
      <c r="BA95" s="153"/>
      <c r="BB95" s="154"/>
      <c r="BC95" s="154"/>
      <c r="BD95" s="154"/>
      <c r="BE95" s="154"/>
      <c r="BF95" s="144"/>
      <c r="BG95" s="153"/>
      <c r="BH95" s="154"/>
      <c r="BI95" s="154"/>
      <c r="BJ95" s="154"/>
      <c r="BK95" s="154"/>
      <c r="BL95" s="144"/>
    </row>
    <row r="96" spans="1:64" s="363" customFormat="1" ht="18.75" hidden="1" customHeight="1" thickBot="1" x14ac:dyDescent="0.3">
      <c r="A96" s="369"/>
      <c r="B96" s="343"/>
      <c r="C96" s="344"/>
      <c r="D96" s="344"/>
      <c r="E96" s="344"/>
      <c r="F96" s="373"/>
      <c r="G96" s="10"/>
      <c r="H96" s="220">
        <f t="shared" si="73"/>
        <v>0</v>
      </c>
      <c r="I96" s="10"/>
      <c r="J96" s="10"/>
      <c r="K96" s="10"/>
      <c r="L96" s="184"/>
      <c r="M96" s="10"/>
      <c r="N96" s="10"/>
      <c r="O96" s="344"/>
      <c r="P96" s="344"/>
      <c r="Q96" s="366"/>
      <c r="R96" s="152"/>
      <c r="S96" s="152"/>
      <c r="T96" s="152"/>
      <c r="U96" s="152"/>
      <c r="V96" s="367"/>
      <c r="W96" s="366"/>
      <c r="X96" s="152"/>
      <c r="Y96" s="152"/>
      <c r="Z96" s="152"/>
      <c r="AA96" s="152"/>
      <c r="AB96" s="367"/>
      <c r="AC96" s="345"/>
      <c r="AD96" s="152"/>
      <c r="AE96" s="152"/>
      <c r="AF96" s="152"/>
      <c r="AG96" s="152"/>
      <c r="AH96" s="367"/>
      <c r="AI96" s="345"/>
      <c r="AJ96" s="152"/>
      <c r="AK96" s="152"/>
      <c r="AL96" s="152"/>
      <c r="AM96" s="6"/>
      <c r="AN96" s="196"/>
      <c r="AO96" s="345"/>
      <c r="AP96" s="152"/>
      <c r="AQ96" s="152"/>
      <c r="AR96" s="152"/>
      <c r="AS96" s="152"/>
      <c r="AT96" s="367"/>
      <c r="AU96" s="345"/>
      <c r="AV96" s="152"/>
      <c r="AW96" s="152"/>
      <c r="AX96" s="6"/>
      <c r="AY96" s="152"/>
      <c r="AZ96" s="367"/>
      <c r="BA96" s="436"/>
      <c r="BB96" s="436"/>
      <c r="BC96" s="436"/>
      <c r="BD96" s="436"/>
      <c r="BE96" s="436"/>
      <c r="BF96" s="436"/>
      <c r="BG96" s="436"/>
      <c r="BH96" s="436"/>
      <c r="BI96" s="436"/>
      <c r="BJ96" s="436"/>
      <c r="BK96" s="436"/>
      <c r="BL96" s="436"/>
    </row>
    <row r="97" spans="1:64" ht="24" customHeight="1" thickBot="1" x14ac:dyDescent="0.25">
      <c r="A97" s="652" t="s">
        <v>60</v>
      </c>
      <c r="B97" s="653" t="s">
        <v>30</v>
      </c>
      <c r="C97" s="654"/>
      <c r="D97" s="655"/>
      <c r="E97" s="656"/>
      <c r="F97" s="657">
        <v>144</v>
      </c>
      <c r="G97" s="654"/>
      <c r="H97" s="655">
        <v>144</v>
      </c>
      <c r="I97" s="655"/>
      <c r="J97" s="655"/>
      <c r="K97" s="659">
        <v>144</v>
      </c>
      <c r="L97" s="655"/>
      <c r="M97" s="655"/>
      <c r="N97" s="655"/>
      <c r="O97" s="655"/>
      <c r="P97" s="656"/>
      <c r="Q97" s="654"/>
      <c r="R97" s="655"/>
      <c r="S97" s="655"/>
      <c r="T97" s="655"/>
      <c r="U97" s="655"/>
      <c r="V97" s="656"/>
      <c r="W97" s="654"/>
      <c r="X97" s="655"/>
      <c r="Y97" s="655"/>
      <c r="Z97" s="655"/>
      <c r="AA97" s="655"/>
      <c r="AB97" s="656"/>
      <c r="AC97" s="654"/>
      <c r="AD97" s="655"/>
      <c r="AE97" s="655"/>
      <c r="AF97" s="655"/>
      <c r="AG97" s="655"/>
      <c r="AH97" s="656"/>
      <c r="AI97" s="654"/>
      <c r="AJ97" s="655"/>
      <c r="AK97" s="655"/>
      <c r="AL97" s="655"/>
      <c r="AM97" s="655"/>
      <c r="AN97" s="656"/>
      <c r="AO97" s="654"/>
      <c r="AP97" s="655"/>
      <c r="AQ97" s="655"/>
      <c r="AR97" s="655"/>
      <c r="AS97" s="655"/>
      <c r="AT97" s="656"/>
      <c r="AU97" s="658"/>
      <c r="AV97" s="655"/>
      <c r="AW97" s="659"/>
      <c r="AX97" s="659"/>
      <c r="AY97" s="659"/>
      <c r="AZ97" s="660"/>
      <c r="BA97" s="661"/>
      <c r="BB97" s="662"/>
      <c r="BC97" s="662"/>
      <c r="BD97" s="662"/>
      <c r="BE97" s="662"/>
      <c r="BF97" s="662"/>
      <c r="BG97" s="663">
        <v>144</v>
      </c>
      <c r="BH97" s="662"/>
      <c r="BI97" s="662"/>
      <c r="BJ97" s="662"/>
      <c r="BK97" s="662"/>
      <c r="BL97" s="664"/>
    </row>
    <row r="98" spans="1:64" ht="16.5" thickBot="1" x14ac:dyDescent="0.25">
      <c r="A98" s="665" t="s">
        <v>8</v>
      </c>
      <c r="B98" s="666" t="s">
        <v>50</v>
      </c>
      <c r="C98" s="667"/>
      <c r="D98" s="668"/>
      <c r="E98" s="665"/>
      <c r="F98" s="669">
        <v>216</v>
      </c>
      <c r="G98" s="667"/>
      <c r="H98" s="668">
        <v>216</v>
      </c>
      <c r="I98" s="670">
        <v>216</v>
      </c>
      <c r="J98" s="670"/>
      <c r="K98" s="670"/>
      <c r="L98" s="670"/>
      <c r="M98" s="670"/>
      <c r="N98" s="670"/>
      <c r="O98" s="670"/>
      <c r="P98" s="671"/>
      <c r="Q98" s="667"/>
      <c r="R98" s="670"/>
      <c r="S98" s="670"/>
      <c r="T98" s="670"/>
      <c r="U98" s="670"/>
      <c r="V98" s="671"/>
      <c r="W98" s="667"/>
      <c r="X98" s="670"/>
      <c r="Y98" s="670"/>
      <c r="Z98" s="670"/>
      <c r="AA98" s="670"/>
      <c r="AB98" s="671"/>
      <c r="AC98" s="667"/>
      <c r="AD98" s="670"/>
      <c r="AE98" s="670"/>
      <c r="AF98" s="670"/>
      <c r="AG98" s="670"/>
      <c r="AH98" s="671"/>
      <c r="AI98" s="667"/>
      <c r="AJ98" s="670"/>
      <c r="AK98" s="670"/>
      <c r="AL98" s="670"/>
      <c r="AM98" s="670"/>
      <c r="AN98" s="671"/>
      <c r="AO98" s="667"/>
      <c r="AP98" s="670"/>
      <c r="AQ98" s="670"/>
      <c r="AR98" s="670"/>
      <c r="AS98" s="670"/>
      <c r="AT98" s="671"/>
      <c r="AU98" s="667"/>
      <c r="AV98" s="670"/>
      <c r="AW98" s="670"/>
      <c r="AX98" s="670"/>
      <c r="AY98" s="670"/>
      <c r="AZ98" s="672"/>
      <c r="BA98" s="661"/>
      <c r="BB98" s="662"/>
      <c r="BC98" s="662"/>
      <c r="BD98" s="662"/>
      <c r="BE98" s="662"/>
      <c r="BF98" s="662"/>
      <c r="BG98" s="663">
        <v>216</v>
      </c>
      <c r="BH98" s="662"/>
      <c r="BI98" s="662"/>
      <c r="BJ98" s="662"/>
      <c r="BK98" s="662"/>
      <c r="BL98" s="664"/>
    </row>
    <row r="99" spans="1:64" ht="31.5" x14ac:dyDescent="0.25">
      <c r="A99" s="114" t="s">
        <v>85</v>
      </c>
      <c r="B99" s="227" t="s">
        <v>86</v>
      </c>
      <c r="C99" s="53"/>
      <c r="D99" s="25"/>
      <c r="E99" s="92"/>
      <c r="F99" s="156">
        <v>72</v>
      </c>
      <c r="G99" s="53"/>
      <c r="H99" s="220"/>
      <c r="I99" s="12"/>
      <c r="J99" s="12"/>
      <c r="K99" s="12"/>
      <c r="L99" s="184"/>
      <c r="M99" s="12"/>
      <c r="N99" s="12"/>
      <c r="O99" s="12"/>
      <c r="P99" s="75"/>
      <c r="Q99" s="164"/>
      <c r="R99" s="39"/>
      <c r="S99" s="39"/>
      <c r="T99" s="39"/>
      <c r="U99" s="39"/>
      <c r="V99" s="192"/>
      <c r="W99" s="164"/>
      <c r="X99" s="39"/>
      <c r="Y99" s="39"/>
      <c r="Z99" s="39"/>
      <c r="AA99" s="39"/>
      <c r="AB99" s="192"/>
      <c r="AC99" s="164"/>
      <c r="AD99" s="39"/>
      <c r="AE99" s="39"/>
      <c r="AF99" s="39"/>
      <c r="AG99" s="39"/>
      <c r="AH99" s="192"/>
      <c r="AI99" s="164"/>
      <c r="AJ99" s="39"/>
      <c r="AK99" s="39"/>
      <c r="AL99" s="39"/>
      <c r="AM99" s="39"/>
      <c r="AN99" s="192"/>
      <c r="AO99" s="164"/>
      <c r="AP99" s="39"/>
      <c r="AQ99" s="39"/>
      <c r="AR99" s="39"/>
      <c r="AS99" s="39"/>
      <c r="AT99" s="192"/>
      <c r="AU99" s="164"/>
      <c r="AV99" s="39"/>
      <c r="AW99" s="39"/>
      <c r="AX99" s="39"/>
      <c r="AY99" s="39"/>
      <c r="AZ99" s="200"/>
      <c r="BA99" s="437"/>
      <c r="BB99" s="437"/>
      <c r="BC99" s="437"/>
      <c r="BD99" s="437"/>
      <c r="BE99" s="437"/>
      <c r="BF99" s="437"/>
      <c r="BG99" s="437"/>
      <c r="BH99" s="437"/>
      <c r="BI99" s="437"/>
      <c r="BJ99" s="437"/>
      <c r="BK99" s="437"/>
      <c r="BL99" s="437"/>
    </row>
    <row r="100" spans="1:64" ht="15.75" x14ac:dyDescent="0.2">
      <c r="A100" s="115" t="s">
        <v>87</v>
      </c>
      <c r="B100" s="228" t="s">
        <v>88</v>
      </c>
      <c r="C100" s="89"/>
      <c r="D100" s="10"/>
      <c r="E100" s="78"/>
      <c r="F100" s="158">
        <v>72</v>
      </c>
      <c r="G100" s="89"/>
      <c r="H100" s="221"/>
      <c r="I100" s="10"/>
      <c r="J100" s="10"/>
      <c r="K100" s="10"/>
      <c r="L100" s="185"/>
      <c r="M100" s="10"/>
      <c r="N100" s="10"/>
      <c r="O100" s="10"/>
      <c r="P100" s="78"/>
      <c r="Q100" s="167"/>
      <c r="R100" s="6"/>
      <c r="S100" s="6"/>
      <c r="T100" s="6"/>
      <c r="U100" s="6"/>
      <c r="V100" s="193"/>
      <c r="W100" s="167"/>
      <c r="X100" s="6"/>
      <c r="Y100" s="6"/>
      <c r="Z100" s="6"/>
      <c r="AA100" s="6"/>
      <c r="AB100" s="193"/>
      <c r="AC100" s="167"/>
      <c r="AD100" s="6"/>
      <c r="AE100" s="6"/>
      <c r="AF100" s="6"/>
      <c r="AG100" s="6"/>
      <c r="AH100" s="193"/>
      <c r="AI100" s="167"/>
      <c r="AJ100" s="6"/>
      <c r="AK100" s="6"/>
      <c r="AL100" s="6"/>
      <c r="AM100" s="6"/>
      <c r="AN100" s="193"/>
      <c r="AO100" s="167"/>
      <c r="AP100" s="6"/>
      <c r="AQ100" s="6"/>
      <c r="AR100" s="6"/>
      <c r="AS100" s="6"/>
      <c r="AT100" s="193"/>
      <c r="AU100" s="167"/>
      <c r="AV100" s="6"/>
      <c r="AW100" s="6"/>
      <c r="AX100" s="6"/>
      <c r="AY100" s="6"/>
      <c r="AZ100" s="201"/>
      <c r="BA100" s="363"/>
      <c r="BB100" s="363"/>
      <c r="BC100" s="363"/>
      <c r="BD100" s="363"/>
      <c r="BE100" s="363"/>
      <c r="BF100" s="363"/>
      <c r="BG100" s="363"/>
      <c r="BH100" s="363"/>
      <c r="BI100" s="363"/>
      <c r="BJ100" s="363"/>
      <c r="BK100" s="363"/>
      <c r="BL100" s="363"/>
    </row>
    <row r="101" spans="1:64" ht="15.75" x14ac:dyDescent="0.2">
      <c r="A101" s="115" t="s">
        <v>89</v>
      </c>
      <c r="B101" s="228" t="s">
        <v>90</v>
      </c>
      <c r="C101" s="89"/>
      <c r="D101" s="10"/>
      <c r="E101" s="78"/>
      <c r="F101" s="158">
        <v>36</v>
      </c>
      <c r="G101" s="89"/>
      <c r="H101" s="221"/>
      <c r="I101" s="10"/>
      <c r="J101" s="10"/>
      <c r="K101" s="10"/>
      <c r="L101" s="185"/>
      <c r="M101" s="10"/>
      <c r="N101" s="10"/>
      <c r="O101" s="10"/>
      <c r="P101" s="78"/>
      <c r="Q101" s="167"/>
      <c r="R101" s="6"/>
      <c r="S101" s="6"/>
      <c r="T101" s="6"/>
      <c r="U101" s="6"/>
      <c r="V101" s="193"/>
      <c r="W101" s="167"/>
      <c r="X101" s="6"/>
      <c r="Y101" s="6"/>
      <c r="Z101" s="6"/>
      <c r="AA101" s="6"/>
      <c r="AB101" s="193"/>
      <c r="AC101" s="167"/>
      <c r="AD101" s="6"/>
      <c r="AE101" s="6"/>
      <c r="AF101" s="6"/>
      <c r="AG101" s="6"/>
      <c r="AH101" s="193"/>
      <c r="AI101" s="167"/>
      <c r="AJ101" s="6"/>
      <c r="AK101" s="6"/>
      <c r="AL101" s="6"/>
      <c r="AM101" s="6"/>
      <c r="AN101" s="193"/>
      <c r="AO101" s="167"/>
      <c r="AP101" s="6"/>
      <c r="AQ101" s="6"/>
      <c r="AR101" s="6"/>
      <c r="AS101" s="6"/>
      <c r="AT101" s="193"/>
      <c r="AU101" s="167"/>
      <c r="AV101" s="6"/>
      <c r="AW101" s="6"/>
      <c r="AX101" s="6"/>
      <c r="AY101" s="148"/>
      <c r="AZ101" s="201"/>
      <c r="BA101" s="363"/>
      <c r="BB101" s="363"/>
      <c r="BC101" s="363"/>
      <c r="BD101" s="363"/>
      <c r="BE101" s="363"/>
      <c r="BF101" s="363"/>
      <c r="BG101" s="363"/>
      <c r="BH101" s="363"/>
      <c r="BI101" s="363"/>
      <c r="BJ101" s="363"/>
      <c r="BK101" s="363"/>
      <c r="BL101" s="363"/>
    </row>
    <row r="102" spans="1:64" ht="19.5" customHeight="1" thickBot="1" x14ac:dyDescent="0.25">
      <c r="A102" s="116" t="s">
        <v>91</v>
      </c>
      <c r="B102" s="229" t="s">
        <v>92</v>
      </c>
      <c r="C102" s="88"/>
      <c r="D102" s="21"/>
      <c r="E102" s="93"/>
      <c r="F102" s="157">
        <v>36</v>
      </c>
      <c r="G102" s="88"/>
      <c r="H102" s="222"/>
      <c r="I102" s="21"/>
      <c r="J102" s="21"/>
      <c r="K102" s="21"/>
      <c r="L102" s="187"/>
      <c r="M102" s="21"/>
      <c r="N102" s="21"/>
      <c r="O102" s="21"/>
      <c r="P102" s="93"/>
      <c r="Q102" s="170"/>
      <c r="R102" s="44"/>
      <c r="S102" s="44"/>
      <c r="T102" s="44"/>
      <c r="U102" s="44"/>
      <c r="V102" s="197"/>
      <c r="W102" s="170"/>
      <c r="X102" s="44"/>
      <c r="Y102" s="44"/>
      <c r="Z102" s="44"/>
      <c r="AA102" s="44"/>
      <c r="AB102" s="197"/>
      <c r="AC102" s="170"/>
      <c r="AD102" s="44"/>
      <c r="AE102" s="44"/>
      <c r="AF102" s="44"/>
      <c r="AG102" s="44"/>
      <c r="AH102" s="197"/>
      <c r="AI102" s="170"/>
      <c r="AJ102" s="44"/>
      <c r="AK102" s="44"/>
      <c r="AL102" s="44"/>
      <c r="AM102" s="44"/>
      <c r="AN102" s="197"/>
      <c r="AO102" s="170"/>
      <c r="AP102" s="44"/>
      <c r="AQ102" s="44"/>
      <c r="AR102" s="44"/>
      <c r="AS102" s="44"/>
      <c r="AT102" s="197"/>
      <c r="AU102" s="170"/>
      <c r="AV102" s="44"/>
      <c r="AW102" s="44"/>
      <c r="AX102" s="44"/>
      <c r="AY102" s="44"/>
      <c r="AZ102" s="432"/>
      <c r="BA102" s="436"/>
      <c r="BB102" s="436"/>
      <c r="BC102" s="436"/>
      <c r="BD102" s="436"/>
      <c r="BE102" s="436"/>
      <c r="BF102" s="436"/>
      <c r="BG102" s="436"/>
      <c r="BH102" s="436"/>
      <c r="BI102" s="436"/>
      <c r="BJ102" s="436"/>
      <c r="BK102" s="436"/>
      <c r="BL102" s="436"/>
    </row>
    <row r="103" spans="1:64" ht="19.5" customHeight="1" x14ac:dyDescent="0.2">
      <c r="A103" s="22"/>
      <c r="B103" s="826"/>
      <c r="C103" s="826"/>
      <c r="D103" s="826"/>
      <c r="E103" s="826"/>
      <c r="F103" s="826"/>
      <c r="G103" s="26"/>
      <c r="H103" s="828" t="s">
        <v>2</v>
      </c>
      <c r="I103" s="837" t="s">
        <v>27</v>
      </c>
      <c r="J103" s="838"/>
      <c r="K103" s="838"/>
      <c r="L103" s="838"/>
      <c r="M103" s="838"/>
      <c r="N103" s="838"/>
      <c r="O103" s="838"/>
      <c r="P103" s="839"/>
      <c r="Q103" s="149"/>
      <c r="R103" s="150"/>
      <c r="S103" s="150"/>
      <c r="T103" s="150"/>
      <c r="U103" s="150"/>
      <c r="V103" s="151">
        <v>10</v>
      </c>
      <c r="W103" s="149"/>
      <c r="X103" s="150"/>
      <c r="Y103" s="150"/>
      <c r="Z103" s="150"/>
      <c r="AA103" s="150"/>
      <c r="AB103" s="151">
        <v>13</v>
      </c>
      <c r="AC103" s="149"/>
      <c r="AD103" s="150"/>
      <c r="AE103" s="150"/>
      <c r="AF103" s="150"/>
      <c r="AG103" s="150"/>
      <c r="AH103" s="151">
        <v>10</v>
      </c>
      <c r="AI103" s="149"/>
      <c r="AJ103" s="150"/>
      <c r="AK103" s="150"/>
      <c r="AL103" s="150"/>
      <c r="AM103" s="150"/>
      <c r="AN103" s="151">
        <v>14</v>
      </c>
      <c r="AO103" s="182"/>
      <c r="AP103" s="150"/>
      <c r="AQ103" s="150"/>
      <c r="AR103" s="150"/>
      <c r="AS103" s="150"/>
      <c r="AT103" s="151">
        <v>10</v>
      </c>
      <c r="AU103" s="149"/>
      <c r="AV103" s="150"/>
      <c r="AW103" s="150"/>
      <c r="AX103" s="150"/>
      <c r="AY103" s="150"/>
      <c r="AZ103" s="433"/>
      <c r="BA103" s="438"/>
      <c r="BB103" s="439"/>
      <c r="BC103" s="439"/>
      <c r="BD103" s="439"/>
      <c r="BE103" s="439"/>
      <c r="BF103" s="439"/>
      <c r="BG103" s="439"/>
      <c r="BH103" s="439"/>
      <c r="BI103" s="439"/>
      <c r="BJ103" s="439"/>
      <c r="BK103" s="439"/>
      <c r="BL103" s="440"/>
    </row>
    <row r="104" spans="1:64" ht="15.75" customHeight="1" x14ac:dyDescent="0.2">
      <c r="A104" s="3"/>
      <c r="B104" s="827"/>
      <c r="C104" s="827"/>
      <c r="D104" s="827"/>
      <c r="E104" s="827"/>
      <c r="F104" s="827"/>
      <c r="G104" s="28"/>
      <c r="H104" s="829"/>
      <c r="I104" s="840" t="s">
        <v>28</v>
      </c>
      <c r="J104" s="841"/>
      <c r="K104" s="841"/>
      <c r="L104" s="841"/>
      <c r="M104" s="841"/>
      <c r="N104" s="841"/>
      <c r="O104" s="841"/>
      <c r="P104" s="842"/>
      <c r="Q104" s="256"/>
      <c r="R104" s="257"/>
      <c r="S104" s="257"/>
      <c r="T104" s="257"/>
      <c r="U104" s="257"/>
      <c r="V104" s="258"/>
      <c r="W104" s="256"/>
      <c r="X104" s="257"/>
      <c r="Y104" s="257"/>
      <c r="Z104" s="257"/>
      <c r="AA104" s="257"/>
      <c r="AB104" s="258"/>
      <c r="AC104" s="256"/>
      <c r="AD104" s="257"/>
      <c r="AE104" s="257"/>
      <c r="AF104" s="257"/>
      <c r="AG104" s="257"/>
      <c r="AH104" s="258"/>
      <c r="AI104" s="256"/>
      <c r="AJ104" s="257"/>
      <c r="AK104" s="257"/>
      <c r="AL104" s="257"/>
      <c r="AM104" s="257">
        <v>36</v>
      </c>
      <c r="AN104" s="258"/>
      <c r="AO104" s="113"/>
      <c r="AP104" s="257"/>
      <c r="AQ104" s="257"/>
      <c r="AR104" s="257"/>
      <c r="AS104" s="257">
        <v>72</v>
      </c>
      <c r="AT104" s="258"/>
      <c r="AU104" s="256"/>
      <c r="AV104" s="257"/>
      <c r="AW104" s="16"/>
      <c r="AX104" s="16"/>
      <c r="AY104" s="16">
        <v>36</v>
      </c>
      <c r="AZ104" s="434"/>
      <c r="BA104" s="441"/>
      <c r="BB104" s="363"/>
      <c r="BC104" s="363"/>
      <c r="BD104" s="363"/>
      <c r="BE104" s="363"/>
      <c r="BF104" s="363"/>
      <c r="BG104" s="363"/>
      <c r="BH104" s="363"/>
      <c r="BI104" s="363"/>
      <c r="BJ104" s="363"/>
      <c r="BK104" s="363"/>
      <c r="BL104" s="442"/>
    </row>
    <row r="105" spans="1:64" ht="31.5" customHeight="1" x14ac:dyDescent="0.25">
      <c r="A105" s="4"/>
      <c r="B105" s="29" t="s">
        <v>7</v>
      </c>
      <c r="C105" s="30"/>
      <c r="D105" s="31"/>
      <c r="E105" s="31"/>
      <c r="F105" s="31"/>
      <c r="G105" s="28"/>
      <c r="H105" s="829"/>
      <c r="I105" s="840" t="s">
        <v>37</v>
      </c>
      <c r="J105" s="841"/>
      <c r="K105" s="841"/>
      <c r="L105" s="841"/>
      <c r="M105" s="841"/>
      <c r="N105" s="841"/>
      <c r="O105" s="841"/>
      <c r="P105" s="842"/>
      <c r="Q105" s="259"/>
      <c r="R105" s="260"/>
      <c r="S105" s="260"/>
      <c r="T105" s="260"/>
      <c r="U105" s="260"/>
      <c r="V105" s="261"/>
      <c r="W105" s="259"/>
      <c r="X105" s="260"/>
      <c r="Y105" s="260"/>
      <c r="Z105" s="260"/>
      <c r="AA105" s="260"/>
      <c r="AB105" s="261"/>
      <c r="AC105" s="259"/>
      <c r="AD105" s="260"/>
      <c r="AE105" s="260"/>
      <c r="AF105" s="260"/>
      <c r="AG105" s="260"/>
      <c r="AH105" s="261"/>
      <c r="AI105" s="259"/>
      <c r="AJ105" s="260"/>
      <c r="AK105" s="260"/>
      <c r="AL105" s="260"/>
      <c r="AM105" s="260">
        <v>72</v>
      </c>
      <c r="AN105" s="261"/>
      <c r="AO105" s="256"/>
      <c r="AP105" s="260"/>
      <c r="AQ105" s="260"/>
      <c r="AR105" s="260"/>
      <c r="AS105" s="260">
        <v>72</v>
      </c>
      <c r="AT105" s="261"/>
      <c r="AU105" s="259"/>
      <c r="AV105" s="260"/>
      <c r="AW105" s="152"/>
      <c r="AX105" s="6"/>
      <c r="AY105" s="6">
        <v>72</v>
      </c>
      <c r="AZ105" s="95"/>
      <c r="BA105" s="441"/>
      <c r="BB105" s="363"/>
      <c r="BC105" s="363"/>
      <c r="BD105" s="363"/>
      <c r="BE105" s="363"/>
      <c r="BF105" s="363"/>
      <c r="BG105" s="363"/>
      <c r="BH105" s="363"/>
      <c r="BI105" s="363"/>
      <c r="BJ105" s="363"/>
      <c r="BK105" s="363"/>
      <c r="BL105" s="442"/>
    </row>
    <row r="106" spans="1:64" ht="15.75" x14ac:dyDescent="0.25">
      <c r="A106" s="3"/>
      <c r="B106" s="32"/>
      <c r="C106" s="31"/>
      <c r="D106" s="30"/>
      <c r="E106" s="30"/>
      <c r="F106" s="31"/>
      <c r="G106" s="28"/>
      <c r="H106" s="829"/>
      <c r="I106" s="831" t="s">
        <v>3</v>
      </c>
      <c r="J106" s="832"/>
      <c r="K106" s="832"/>
      <c r="L106" s="832"/>
      <c r="M106" s="832"/>
      <c r="N106" s="832"/>
      <c r="O106" s="832"/>
      <c r="P106" s="833"/>
      <c r="Q106" s="106"/>
      <c r="R106" s="16"/>
      <c r="S106" s="16"/>
      <c r="T106" s="16"/>
      <c r="U106" s="16"/>
      <c r="V106" s="58"/>
      <c r="W106" s="106"/>
      <c r="X106" s="16"/>
      <c r="Y106" s="16"/>
      <c r="Z106" s="16"/>
      <c r="AA106" s="16"/>
      <c r="AB106" s="58">
        <v>5</v>
      </c>
      <c r="AC106" s="106"/>
      <c r="AD106" s="16"/>
      <c r="AE106" s="16"/>
      <c r="AF106" s="16"/>
      <c r="AG106" s="16"/>
      <c r="AH106" s="58">
        <v>2</v>
      </c>
      <c r="AI106" s="106"/>
      <c r="AJ106" s="16"/>
      <c r="AK106" s="16"/>
      <c r="AL106" s="16"/>
      <c r="AM106" s="16"/>
      <c r="AN106" s="58">
        <v>5</v>
      </c>
      <c r="AO106" s="259"/>
      <c r="AP106" s="16"/>
      <c r="AQ106" s="16"/>
      <c r="AR106" s="16"/>
      <c r="AS106" s="16"/>
      <c r="AT106" s="58">
        <v>2</v>
      </c>
      <c r="AU106" s="106"/>
      <c r="AV106" s="16"/>
      <c r="AW106" s="16"/>
      <c r="AX106" s="16"/>
      <c r="AY106" s="16"/>
      <c r="AZ106" s="434">
        <v>2</v>
      </c>
      <c r="BA106" s="441"/>
      <c r="BB106" s="363"/>
      <c r="BC106" s="363"/>
      <c r="BD106" s="363"/>
      <c r="BE106" s="363"/>
      <c r="BF106" s="363"/>
      <c r="BG106" s="363"/>
      <c r="BH106" s="363"/>
      <c r="BI106" s="363"/>
      <c r="BJ106" s="363"/>
      <c r="BK106" s="363"/>
      <c r="BL106" s="442"/>
    </row>
    <row r="107" spans="1:64" ht="15.75" x14ac:dyDescent="0.2">
      <c r="A107" s="3"/>
      <c r="B107" s="32"/>
      <c r="C107" s="31"/>
      <c r="D107" s="31"/>
      <c r="E107" s="31"/>
      <c r="F107" s="31"/>
      <c r="G107" s="28"/>
      <c r="H107" s="829"/>
      <c r="I107" s="831" t="s">
        <v>4</v>
      </c>
      <c r="J107" s="832"/>
      <c r="K107" s="832"/>
      <c r="L107" s="832"/>
      <c r="M107" s="832"/>
      <c r="N107" s="832"/>
      <c r="O107" s="832"/>
      <c r="P107" s="833"/>
      <c r="Q107" s="106"/>
      <c r="R107" s="16"/>
      <c r="S107" s="16"/>
      <c r="T107" s="16"/>
      <c r="U107" s="16"/>
      <c r="V107" s="58">
        <v>3</v>
      </c>
      <c r="W107" s="106"/>
      <c r="X107" s="16"/>
      <c r="Y107" s="16"/>
      <c r="Z107" s="16"/>
      <c r="AA107" s="16"/>
      <c r="AB107" s="58">
        <v>7</v>
      </c>
      <c r="AC107" s="106"/>
      <c r="AD107" s="16"/>
      <c r="AE107" s="16"/>
      <c r="AF107" s="16"/>
      <c r="AG107" s="16"/>
      <c r="AH107" s="58">
        <v>4</v>
      </c>
      <c r="AI107" s="106"/>
      <c r="AJ107" s="16"/>
      <c r="AK107" s="16"/>
      <c r="AL107" s="16"/>
      <c r="AM107" s="16"/>
      <c r="AN107" s="58">
        <v>6</v>
      </c>
      <c r="AO107" s="106"/>
      <c r="AP107" s="16"/>
      <c r="AQ107" s="16"/>
      <c r="AR107" s="16"/>
      <c r="AS107" s="16"/>
      <c r="AT107" s="58">
        <v>5</v>
      </c>
      <c r="AU107" s="106"/>
      <c r="AV107" s="16"/>
      <c r="AW107" s="16"/>
      <c r="AX107" s="16"/>
      <c r="AY107" s="16"/>
      <c r="AZ107" s="434">
        <v>2</v>
      </c>
      <c r="BA107" s="441"/>
      <c r="BB107" s="363"/>
      <c r="BC107" s="363"/>
      <c r="BD107" s="363"/>
      <c r="BE107" s="363"/>
      <c r="BF107" s="363"/>
      <c r="BG107" s="363"/>
      <c r="BH107" s="363"/>
      <c r="BI107" s="363"/>
      <c r="BJ107" s="363"/>
      <c r="BK107" s="363"/>
      <c r="BL107" s="442"/>
    </row>
    <row r="108" spans="1:64" ht="18" customHeight="1" thickBot="1" x14ac:dyDescent="0.25">
      <c r="A108" s="23"/>
      <c r="B108" s="33"/>
      <c r="C108" s="34"/>
      <c r="D108" s="35"/>
      <c r="E108" s="35"/>
      <c r="F108" s="34"/>
      <c r="G108" s="36"/>
      <c r="H108" s="830"/>
      <c r="I108" s="834" t="s">
        <v>51</v>
      </c>
      <c r="J108" s="835"/>
      <c r="K108" s="835"/>
      <c r="L108" s="835"/>
      <c r="M108" s="835"/>
      <c r="N108" s="835"/>
      <c r="O108" s="835"/>
      <c r="P108" s="836"/>
      <c r="Q108" s="153"/>
      <c r="R108" s="154"/>
      <c r="S108" s="154"/>
      <c r="T108" s="154"/>
      <c r="U108" s="154"/>
      <c r="V108" s="144">
        <v>6</v>
      </c>
      <c r="W108" s="153"/>
      <c r="X108" s="154"/>
      <c r="Y108" s="154"/>
      <c r="Z108" s="154"/>
      <c r="AA108" s="154"/>
      <c r="AB108" s="144"/>
      <c r="AC108" s="153"/>
      <c r="AD108" s="154"/>
      <c r="AE108" s="154"/>
      <c r="AF108" s="154"/>
      <c r="AG108" s="154"/>
      <c r="AH108" s="144">
        <v>3</v>
      </c>
      <c r="AI108" s="153"/>
      <c r="AJ108" s="154"/>
      <c r="AK108" s="154"/>
      <c r="AL108" s="154"/>
      <c r="AM108" s="154"/>
      <c r="AN108" s="144">
        <v>2</v>
      </c>
      <c r="AO108" s="153"/>
      <c r="AP108" s="154"/>
      <c r="AQ108" s="154"/>
      <c r="AR108" s="154"/>
      <c r="AS108" s="154"/>
      <c r="AT108" s="144">
        <v>1</v>
      </c>
      <c r="AU108" s="153"/>
      <c r="AV108" s="154"/>
      <c r="AW108" s="154"/>
      <c r="AX108" s="154"/>
      <c r="AY108" s="154"/>
      <c r="AZ108" s="435"/>
      <c r="BA108" s="443"/>
      <c r="BB108" s="444"/>
      <c r="BC108" s="444"/>
      <c r="BD108" s="444"/>
      <c r="BE108" s="444"/>
      <c r="BF108" s="444"/>
      <c r="BG108" s="444"/>
      <c r="BH108" s="444"/>
      <c r="BI108" s="444"/>
      <c r="BJ108" s="444"/>
      <c r="BK108" s="444"/>
      <c r="BL108" s="445"/>
    </row>
  </sheetData>
  <mergeCells count="56">
    <mergeCell ref="BA6:BF6"/>
    <mergeCell ref="BG6:BL6"/>
    <mergeCell ref="BA7:BA8"/>
    <mergeCell ref="BB7:BF7"/>
    <mergeCell ref="BG7:BG8"/>
    <mergeCell ref="BH7:BL7"/>
    <mergeCell ref="L6:L8"/>
    <mergeCell ref="B103:F104"/>
    <mergeCell ref="H103:H108"/>
    <mergeCell ref="I107:P107"/>
    <mergeCell ref="I108:P108"/>
    <mergeCell ref="I103:P103"/>
    <mergeCell ref="I104:P104"/>
    <mergeCell ref="I105:P105"/>
    <mergeCell ref="I106:P106"/>
    <mergeCell ref="A3:A8"/>
    <mergeCell ref="B3:B8"/>
    <mergeCell ref="C3:D5"/>
    <mergeCell ref="E3:E8"/>
    <mergeCell ref="F3:P3"/>
    <mergeCell ref="F4:F8"/>
    <mergeCell ref="G4:G8"/>
    <mergeCell ref="H4:P4"/>
    <mergeCell ref="H5:H8"/>
    <mergeCell ref="I5:P5"/>
    <mergeCell ref="C6:C8"/>
    <mergeCell ref="D6:D8"/>
    <mergeCell ref="M6:P7"/>
    <mergeCell ref="I6:I8"/>
    <mergeCell ref="J6:J8"/>
    <mergeCell ref="K6:K8"/>
    <mergeCell ref="W6:AB6"/>
    <mergeCell ref="Q7:Q8"/>
    <mergeCell ref="R7:V7"/>
    <mergeCell ref="W7:W8"/>
    <mergeCell ref="Q6:V6"/>
    <mergeCell ref="X7:AB7"/>
    <mergeCell ref="AP7:AT7"/>
    <mergeCell ref="AU7:AU8"/>
    <mergeCell ref="AV7:AZ7"/>
    <mergeCell ref="AC6:AH6"/>
    <mergeCell ref="AI6:AN6"/>
    <mergeCell ref="AO6:AT6"/>
    <mergeCell ref="AU6:AZ6"/>
    <mergeCell ref="AC7:AC8"/>
    <mergeCell ref="AD7:AH7"/>
    <mergeCell ref="AI7:AI8"/>
    <mergeCell ref="AJ7:AN7"/>
    <mergeCell ref="AO7:AO8"/>
    <mergeCell ref="D2:AH2"/>
    <mergeCell ref="AC5:AN5"/>
    <mergeCell ref="AO5:AZ5"/>
    <mergeCell ref="Q5:AB5"/>
    <mergeCell ref="Q3:BL3"/>
    <mergeCell ref="Q4:BL4"/>
    <mergeCell ref="BA5:BL5"/>
  </mergeCells>
  <phoneticPr fontId="2" type="noConversion"/>
  <pageMargins left="0.15748031496062992" right="0.11811023622047245" top="0.11811023622047245" bottom="3.937007874015748E-2" header="0.23622047244094491" footer="0.35433070866141736"/>
  <pageSetup paperSize="8" scale="51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54"/>
  <sheetViews>
    <sheetView topLeftCell="A46" workbookViewId="0">
      <selection activeCell="B1" sqref="B1:H69"/>
    </sheetView>
  </sheetViews>
  <sheetFormatPr defaultRowHeight="12.75" x14ac:dyDescent="0.2"/>
  <cols>
    <col min="1" max="1" width="1.7109375" customWidth="1"/>
    <col min="3" max="3" width="24.140625" customWidth="1"/>
    <col min="4" max="4" width="9.85546875" customWidth="1"/>
    <col min="6" max="6" width="4" customWidth="1"/>
    <col min="8" max="8" width="73.140625" customWidth="1"/>
  </cols>
  <sheetData>
    <row r="1" spans="2:8" ht="13.5" thickBot="1" x14ac:dyDescent="0.25"/>
    <row r="2" spans="2:8" ht="33.75" customHeight="1" thickBot="1" x14ac:dyDescent="0.25">
      <c r="B2" s="854" t="s">
        <v>96</v>
      </c>
      <c r="C2" s="855"/>
      <c r="D2" s="855"/>
      <c r="E2" s="856"/>
      <c r="F2" s="230"/>
      <c r="G2" s="857" t="s">
        <v>97</v>
      </c>
      <c r="H2" s="231" t="s">
        <v>98</v>
      </c>
    </row>
    <row r="3" spans="2:8" ht="15.75" customHeight="1" thickBot="1" x14ac:dyDescent="0.25">
      <c r="B3" s="232" t="s">
        <v>99</v>
      </c>
      <c r="C3" s="233" t="s">
        <v>100</v>
      </c>
      <c r="D3" s="233" t="s">
        <v>101</v>
      </c>
      <c r="E3" s="233" t="s">
        <v>102</v>
      </c>
      <c r="F3" s="234"/>
      <c r="G3" s="858"/>
      <c r="H3" s="232" t="s">
        <v>100</v>
      </c>
    </row>
    <row r="4" spans="2:8" ht="16.5" customHeight="1" thickBot="1" x14ac:dyDescent="0.25">
      <c r="B4" s="235" t="s">
        <v>103</v>
      </c>
      <c r="C4" s="236" t="s">
        <v>104</v>
      </c>
      <c r="D4" s="237" t="s">
        <v>105</v>
      </c>
      <c r="E4" s="249">
        <v>4</v>
      </c>
      <c r="F4" s="238"/>
      <c r="G4" s="859"/>
      <c r="H4" s="232" t="s">
        <v>106</v>
      </c>
    </row>
    <row r="5" spans="2:8" ht="18.75" customHeight="1" x14ac:dyDescent="0.2">
      <c r="B5" s="860" t="s">
        <v>107</v>
      </c>
      <c r="C5" s="863" t="s">
        <v>29</v>
      </c>
      <c r="D5" s="860" t="s">
        <v>105</v>
      </c>
      <c r="E5" s="865">
        <v>6</v>
      </c>
      <c r="F5" s="238"/>
      <c r="G5" s="247">
        <v>1</v>
      </c>
      <c r="H5" s="250" t="s">
        <v>108</v>
      </c>
    </row>
    <row r="6" spans="2:8" ht="18.75" customHeight="1" x14ac:dyDescent="0.2">
      <c r="B6" s="861"/>
      <c r="C6" s="853"/>
      <c r="D6" s="861"/>
      <c r="E6" s="866"/>
      <c r="F6" s="238"/>
      <c r="G6" s="239">
        <v>2</v>
      </c>
      <c r="H6" s="251" t="s">
        <v>109</v>
      </c>
    </row>
    <row r="7" spans="2:8" ht="18" customHeight="1" x14ac:dyDescent="0.2">
      <c r="B7" s="862"/>
      <c r="C7" s="864"/>
      <c r="D7" s="862"/>
      <c r="E7" s="867"/>
      <c r="F7" s="238"/>
      <c r="G7" s="239">
        <v>3</v>
      </c>
      <c r="H7" s="252" t="s">
        <v>149</v>
      </c>
    </row>
    <row r="8" spans="2:8" ht="17.25" customHeight="1" x14ac:dyDescent="0.2">
      <c r="B8" s="846" t="s">
        <v>110</v>
      </c>
      <c r="C8" s="848" t="s">
        <v>111</v>
      </c>
      <c r="D8" s="846">
        <v>6</v>
      </c>
      <c r="E8" s="850">
        <v>4</v>
      </c>
      <c r="F8" s="240"/>
      <c r="G8" s="239">
        <v>4</v>
      </c>
      <c r="H8" s="252" t="s">
        <v>112</v>
      </c>
    </row>
    <row r="9" spans="2:8" ht="17.25" customHeight="1" thickBot="1" x14ac:dyDescent="0.25">
      <c r="B9" s="847"/>
      <c r="C9" s="849"/>
      <c r="D9" s="847"/>
      <c r="E9" s="851"/>
      <c r="F9" s="240"/>
      <c r="G9" s="239">
        <v>5</v>
      </c>
      <c r="H9" s="252" t="s">
        <v>113</v>
      </c>
    </row>
    <row r="10" spans="2:8" ht="18.75" customHeight="1" thickBot="1" x14ac:dyDescent="0.25">
      <c r="B10" s="241"/>
      <c r="C10" s="242" t="s">
        <v>114</v>
      </c>
      <c r="D10" s="243"/>
      <c r="E10" s="244">
        <v>14</v>
      </c>
      <c r="F10" s="240"/>
      <c r="G10" s="239">
        <v>6</v>
      </c>
      <c r="H10" s="252" t="s">
        <v>115</v>
      </c>
    </row>
    <row r="11" spans="2:8" ht="20.25" customHeight="1" x14ac:dyDescent="0.2">
      <c r="B11" s="245"/>
      <c r="C11" s="246"/>
      <c r="D11" s="238"/>
      <c r="E11" s="238"/>
      <c r="F11" s="240"/>
      <c r="G11" s="239">
        <v>7</v>
      </c>
      <c r="H11" s="252" t="s">
        <v>116</v>
      </c>
    </row>
    <row r="12" spans="2:8" ht="15.75" x14ac:dyDescent="0.2">
      <c r="B12" s="240"/>
      <c r="C12" s="240"/>
      <c r="D12" s="240"/>
      <c r="E12" s="240"/>
      <c r="F12" s="240"/>
      <c r="G12" s="239">
        <v>8</v>
      </c>
      <c r="H12" s="253" t="s">
        <v>146</v>
      </c>
    </row>
    <row r="13" spans="2:8" ht="15.75" x14ac:dyDescent="0.2">
      <c r="B13" s="240"/>
      <c r="C13" s="240"/>
      <c r="D13" s="240"/>
      <c r="E13" s="240"/>
      <c r="F13" s="240"/>
      <c r="G13" s="239">
        <v>9</v>
      </c>
      <c r="H13" s="253" t="s">
        <v>117</v>
      </c>
    </row>
    <row r="14" spans="2:8" ht="15.75" x14ac:dyDescent="0.2">
      <c r="B14" s="240"/>
      <c r="C14" s="240"/>
      <c r="D14" s="240"/>
      <c r="E14" s="240"/>
      <c r="F14" s="240"/>
      <c r="G14" s="239">
        <v>10</v>
      </c>
      <c r="H14" s="253" t="s">
        <v>118</v>
      </c>
    </row>
    <row r="15" spans="2:8" ht="15.75" x14ac:dyDescent="0.2">
      <c r="B15" s="245"/>
      <c r="C15" s="245"/>
      <c r="D15" s="238"/>
      <c r="E15" s="238"/>
      <c r="F15" s="240"/>
      <c r="G15" s="239">
        <v>11</v>
      </c>
      <c r="H15" s="253" t="s">
        <v>119</v>
      </c>
    </row>
    <row r="16" spans="2:8" ht="15.75" x14ac:dyDescent="0.2">
      <c r="B16" s="245"/>
      <c r="C16" s="245"/>
      <c r="D16" s="238"/>
      <c r="E16" s="238"/>
      <c r="F16" s="240"/>
      <c r="G16" s="239">
        <v>12</v>
      </c>
      <c r="H16" s="253" t="s">
        <v>148</v>
      </c>
    </row>
    <row r="17" spans="2:8" ht="16.5" customHeight="1" x14ac:dyDescent="0.2">
      <c r="B17" s="245"/>
      <c r="C17" s="245"/>
      <c r="D17" s="238"/>
      <c r="E17" s="238"/>
      <c r="F17" s="240"/>
      <c r="G17" s="239">
        <v>13</v>
      </c>
      <c r="H17" s="254" t="s">
        <v>147</v>
      </c>
    </row>
    <row r="18" spans="2:8" ht="31.5" customHeight="1" x14ac:dyDescent="0.2">
      <c r="B18" s="245"/>
      <c r="C18" s="246"/>
      <c r="D18" s="238"/>
      <c r="E18" s="238"/>
      <c r="F18" s="240"/>
      <c r="G18" s="239">
        <v>14</v>
      </c>
      <c r="H18" s="251" t="s">
        <v>153</v>
      </c>
    </row>
    <row r="19" spans="2:8" ht="15.75" x14ac:dyDescent="0.2">
      <c r="B19" s="240"/>
      <c r="C19" s="240"/>
      <c r="D19" s="240"/>
      <c r="E19" s="240"/>
      <c r="F19" s="240"/>
      <c r="G19" s="239">
        <v>15</v>
      </c>
      <c r="H19" s="253" t="s">
        <v>120</v>
      </c>
    </row>
    <row r="20" spans="2:8" ht="18.75" customHeight="1" x14ac:dyDescent="0.2">
      <c r="B20" s="240"/>
      <c r="C20" s="240"/>
      <c r="D20" s="240"/>
      <c r="E20" s="240"/>
      <c r="F20" s="245"/>
      <c r="G20" s="239"/>
      <c r="H20" s="255" t="s">
        <v>121</v>
      </c>
    </row>
    <row r="21" spans="2:8" ht="17.25" customHeight="1" x14ac:dyDescent="0.2">
      <c r="B21" s="240"/>
      <c r="C21" s="240"/>
      <c r="D21" s="240"/>
      <c r="E21" s="240"/>
      <c r="F21" s="245"/>
      <c r="G21" s="239" t="s">
        <v>122</v>
      </c>
      <c r="H21" s="251" t="s">
        <v>123</v>
      </c>
    </row>
    <row r="22" spans="2:8" ht="16.5" customHeight="1" x14ac:dyDescent="0.2">
      <c r="B22" s="240"/>
      <c r="C22" s="240"/>
      <c r="D22" s="240"/>
      <c r="E22" s="240"/>
      <c r="F22" s="245"/>
      <c r="G22" s="239" t="s">
        <v>124</v>
      </c>
      <c r="H22" s="251" t="s">
        <v>150</v>
      </c>
    </row>
    <row r="23" spans="2:8" ht="15" customHeight="1" x14ac:dyDescent="0.2">
      <c r="B23" s="240"/>
      <c r="C23" s="240"/>
      <c r="D23" s="240"/>
      <c r="E23" s="240"/>
      <c r="F23" s="234"/>
      <c r="G23" s="239"/>
      <c r="H23" s="255" t="s">
        <v>125</v>
      </c>
    </row>
    <row r="24" spans="2:8" ht="17.25" customHeight="1" x14ac:dyDescent="0.2">
      <c r="B24" s="240"/>
      <c r="C24" s="240"/>
      <c r="D24" s="240"/>
      <c r="E24" s="240"/>
      <c r="F24" s="245"/>
      <c r="G24" s="239" t="s">
        <v>122</v>
      </c>
      <c r="H24" s="251" t="s">
        <v>126</v>
      </c>
    </row>
    <row r="25" spans="2:8" ht="16.5" customHeight="1" x14ac:dyDescent="0.2">
      <c r="B25" s="240"/>
      <c r="C25" s="240"/>
      <c r="D25" s="240"/>
      <c r="E25" s="240"/>
      <c r="F25" s="240"/>
      <c r="G25" s="239" t="s">
        <v>124</v>
      </c>
      <c r="H25" s="251" t="s">
        <v>127</v>
      </c>
    </row>
    <row r="26" spans="2:8" ht="15.75" x14ac:dyDescent="0.2">
      <c r="B26" s="240"/>
      <c r="C26" s="240"/>
      <c r="D26" s="240"/>
      <c r="E26" s="240"/>
      <c r="F26" s="240"/>
      <c r="G26" s="239"/>
      <c r="H26" s="255" t="s">
        <v>128</v>
      </c>
    </row>
    <row r="27" spans="2:8" ht="19.5" customHeight="1" x14ac:dyDescent="0.2">
      <c r="B27" s="240"/>
      <c r="C27" s="240"/>
      <c r="D27" s="240"/>
      <c r="E27" s="240"/>
      <c r="F27" s="240"/>
      <c r="G27" s="239">
        <v>1</v>
      </c>
      <c r="H27" s="251" t="s">
        <v>129</v>
      </c>
    </row>
    <row r="28" spans="2:8" ht="18" customHeight="1" thickBot="1" x14ac:dyDescent="0.25">
      <c r="B28" s="240"/>
      <c r="C28" s="240"/>
      <c r="D28" s="240"/>
      <c r="E28" s="240"/>
      <c r="F28" s="240"/>
      <c r="G28" s="248">
        <v>2</v>
      </c>
      <c r="H28" s="236" t="s">
        <v>130</v>
      </c>
    </row>
    <row r="29" spans="2:8" ht="9.75" customHeight="1" x14ac:dyDescent="0.2">
      <c r="B29" s="240"/>
      <c r="C29" s="240"/>
      <c r="D29" s="240"/>
      <c r="E29" s="240"/>
      <c r="F29" s="240"/>
      <c r="G29" s="238"/>
      <c r="H29" s="245"/>
    </row>
    <row r="30" spans="2:8" ht="16.5" customHeight="1" x14ac:dyDescent="0.2">
      <c r="B30" s="852" t="s">
        <v>131</v>
      </c>
      <c r="C30" s="852"/>
      <c r="D30" s="852"/>
      <c r="E30" s="852"/>
      <c r="F30" s="852"/>
      <c r="G30" s="852"/>
      <c r="H30" s="852"/>
    </row>
    <row r="31" spans="2:8" ht="331.5" customHeight="1" x14ac:dyDescent="0.2">
      <c r="B31" s="853" t="s">
        <v>155</v>
      </c>
      <c r="C31" s="853"/>
      <c r="D31" s="853"/>
      <c r="E31" s="853"/>
      <c r="F31" s="853"/>
      <c r="G31" s="853"/>
      <c r="H31" s="853"/>
    </row>
    <row r="32" spans="2:8" ht="33.75" customHeight="1" x14ac:dyDescent="0.2">
      <c r="B32" s="844" t="s">
        <v>143</v>
      </c>
      <c r="C32" s="844"/>
      <c r="D32" s="844"/>
      <c r="E32" s="844"/>
      <c r="F32" s="844"/>
      <c r="G32" s="844"/>
      <c r="H32" s="844"/>
    </row>
    <row r="33" spans="2:8" ht="18" customHeight="1" x14ac:dyDescent="0.2">
      <c r="B33" s="844" t="s">
        <v>132</v>
      </c>
      <c r="C33" s="844"/>
      <c r="D33" s="844"/>
      <c r="E33" s="844"/>
      <c r="F33" s="844"/>
      <c r="G33" s="844"/>
      <c r="H33" s="844"/>
    </row>
    <row r="34" spans="2:8" ht="30.75" customHeight="1" x14ac:dyDescent="0.2">
      <c r="B34" s="844" t="s">
        <v>133</v>
      </c>
      <c r="C34" s="844"/>
      <c r="D34" s="844"/>
      <c r="E34" s="844"/>
      <c r="F34" s="844"/>
      <c r="G34" s="844"/>
      <c r="H34" s="844"/>
    </row>
    <row r="35" spans="2:8" ht="31.5" customHeight="1" x14ac:dyDescent="0.2">
      <c r="B35" s="844" t="s">
        <v>134</v>
      </c>
      <c r="C35" s="844"/>
      <c r="D35" s="844"/>
      <c r="E35" s="844"/>
      <c r="F35" s="844"/>
      <c r="G35" s="844"/>
      <c r="H35" s="844"/>
    </row>
    <row r="36" spans="2:8" ht="48.75" customHeight="1" x14ac:dyDescent="0.2">
      <c r="B36" s="844" t="s">
        <v>145</v>
      </c>
      <c r="C36" s="844"/>
      <c r="D36" s="844"/>
      <c r="E36" s="844"/>
      <c r="F36" s="844"/>
      <c r="G36" s="844"/>
      <c r="H36" s="844"/>
    </row>
    <row r="37" spans="2:8" ht="31.5" customHeight="1" x14ac:dyDescent="0.2">
      <c r="B37" s="844" t="s">
        <v>135</v>
      </c>
      <c r="C37" s="844"/>
      <c r="D37" s="844"/>
      <c r="E37" s="844"/>
      <c r="F37" s="844"/>
      <c r="G37" s="844"/>
      <c r="H37" s="844"/>
    </row>
    <row r="38" spans="2:8" ht="97.5" customHeight="1" x14ac:dyDescent="0.2">
      <c r="B38" s="844" t="s">
        <v>156</v>
      </c>
      <c r="C38" s="844"/>
      <c r="D38" s="844"/>
      <c r="E38" s="844"/>
      <c r="F38" s="844"/>
      <c r="G38" s="844"/>
      <c r="H38" s="844"/>
    </row>
    <row r="39" spans="2:8" ht="49.5" customHeight="1" x14ac:dyDescent="0.2">
      <c r="B39" s="844" t="s">
        <v>136</v>
      </c>
      <c r="C39" s="844"/>
      <c r="D39" s="844"/>
      <c r="E39" s="844"/>
      <c r="F39" s="844"/>
      <c r="G39" s="844"/>
      <c r="H39" s="844"/>
    </row>
    <row r="40" spans="2:8" ht="111" customHeight="1" x14ac:dyDescent="0.2">
      <c r="B40" s="844" t="s">
        <v>154</v>
      </c>
      <c r="C40" s="844"/>
      <c r="D40" s="844"/>
      <c r="E40" s="844"/>
      <c r="F40" s="844"/>
      <c r="G40" s="844"/>
      <c r="H40" s="844"/>
    </row>
    <row r="41" spans="2:8" ht="64.5" customHeight="1" x14ac:dyDescent="0.2">
      <c r="B41" s="844" t="s">
        <v>157</v>
      </c>
      <c r="C41" s="844"/>
      <c r="D41" s="844"/>
      <c r="E41" s="844"/>
      <c r="F41" s="844"/>
      <c r="G41" s="844"/>
      <c r="H41" s="844"/>
    </row>
    <row r="42" spans="2:8" ht="64.5" customHeight="1" x14ac:dyDescent="0.2">
      <c r="B42" s="844" t="s">
        <v>158</v>
      </c>
      <c r="C42" s="844"/>
      <c r="D42" s="844"/>
      <c r="E42" s="844"/>
      <c r="F42" s="844"/>
      <c r="G42" s="844"/>
      <c r="H42" s="844"/>
    </row>
    <row r="43" spans="2:8" ht="48" customHeight="1" x14ac:dyDescent="0.2">
      <c r="B43" s="844" t="s">
        <v>137</v>
      </c>
      <c r="C43" s="844"/>
      <c r="D43" s="844"/>
      <c r="E43" s="844"/>
      <c r="F43" s="844"/>
      <c r="G43" s="844"/>
      <c r="H43" s="844"/>
    </row>
    <row r="44" spans="2:8" ht="110.25" customHeight="1" x14ac:dyDescent="0.2">
      <c r="B44" s="844" t="s">
        <v>138</v>
      </c>
      <c r="C44" s="844"/>
      <c r="D44" s="844"/>
      <c r="E44" s="844"/>
      <c r="F44" s="844"/>
      <c r="G44" s="844"/>
      <c r="H44" s="844"/>
    </row>
    <row r="45" spans="2:8" ht="31.5" customHeight="1" x14ac:dyDescent="0.2">
      <c r="B45" s="844" t="s">
        <v>159</v>
      </c>
      <c r="C45" s="844"/>
      <c r="D45" s="844"/>
      <c r="E45" s="844"/>
      <c r="F45" s="844"/>
      <c r="G45" s="844"/>
      <c r="H45" s="844"/>
    </row>
    <row r="46" spans="2:8" ht="48" customHeight="1" x14ac:dyDescent="0.2">
      <c r="B46" s="844" t="s">
        <v>151</v>
      </c>
      <c r="C46" s="844"/>
      <c r="D46" s="844"/>
      <c r="E46" s="844"/>
      <c r="F46" s="844"/>
      <c r="G46" s="844"/>
      <c r="H46" s="844"/>
    </row>
    <row r="47" spans="2:8" ht="33" customHeight="1" x14ac:dyDescent="0.2">
      <c r="B47" s="844" t="s">
        <v>152</v>
      </c>
      <c r="C47" s="844"/>
      <c r="D47" s="844"/>
      <c r="E47" s="844"/>
      <c r="F47" s="844"/>
      <c r="G47" s="844"/>
      <c r="H47" s="844"/>
    </row>
    <row r="48" spans="2:8" ht="141" customHeight="1" x14ac:dyDescent="0.2">
      <c r="B48" s="844" t="s">
        <v>144</v>
      </c>
      <c r="C48" s="844"/>
      <c r="D48" s="844"/>
      <c r="E48" s="844"/>
      <c r="F48" s="844"/>
      <c r="G48" s="844"/>
      <c r="H48" s="844"/>
    </row>
    <row r="49" spans="2:8" ht="30.75" customHeight="1" x14ac:dyDescent="0.2">
      <c r="B49" s="844" t="s">
        <v>139</v>
      </c>
      <c r="C49" s="844"/>
      <c r="D49" s="844"/>
      <c r="E49" s="844"/>
      <c r="F49" s="844"/>
      <c r="G49" s="844"/>
      <c r="H49" s="844"/>
    </row>
    <row r="50" spans="2:8" ht="47.25" customHeight="1" x14ac:dyDescent="0.2">
      <c r="B50" s="843" t="s">
        <v>140</v>
      </c>
      <c r="C50" s="843"/>
      <c r="D50" s="843"/>
      <c r="E50" s="843"/>
      <c r="F50" s="843"/>
      <c r="G50" s="843"/>
      <c r="H50" s="843"/>
    </row>
    <row r="51" spans="2:8" ht="15.75" x14ac:dyDescent="0.2">
      <c r="B51" s="844"/>
      <c r="C51" s="844"/>
      <c r="D51" s="844"/>
      <c r="E51" s="844"/>
      <c r="F51" s="844"/>
      <c r="G51" s="844"/>
      <c r="H51" s="844"/>
    </row>
    <row r="52" spans="2:8" ht="15.75" x14ac:dyDescent="0.2">
      <c r="B52" s="843" t="s">
        <v>141</v>
      </c>
      <c r="C52" s="843"/>
      <c r="D52" s="843"/>
      <c r="E52" s="843"/>
      <c r="F52" s="843"/>
      <c r="G52" s="843"/>
      <c r="H52" s="240"/>
    </row>
    <row r="53" spans="2:8" ht="15.75" x14ac:dyDescent="0.2">
      <c r="B53" s="845"/>
      <c r="C53" s="845"/>
      <c r="D53" s="845"/>
      <c r="E53" s="845"/>
      <c r="F53" s="845"/>
      <c r="G53" s="845"/>
      <c r="H53" s="240"/>
    </row>
    <row r="54" spans="2:8" ht="15.75" x14ac:dyDescent="0.2">
      <c r="B54" s="843" t="s">
        <v>142</v>
      </c>
      <c r="C54" s="843"/>
      <c r="D54" s="843"/>
      <c r="E54" s="843"/>
      <c r="F54" s="843"/>
      <c r="G54" s="843"/>
      <c r="H54" s="240"/>
    </row>
  </sheetData>
  <mergeCells count="35">
    <mergeCell ref="B2:E2"/>
    <mergeCell ref="G2:G4"/>
    <mergeCell ref="B5:B7"/>
    <mergeCell ref="C5:C7"/>
    <mergeCell ref="D5:D7"/>
    <mergeCell ref="E5:E7"/>
    <mergeCell ref="B37:H37"/>
    <mergeCell ref="B8:B9"/>
    <mergeCell ref="C8:C9"/>
    <mergeCell ref="D8:D9"/>
    <mergeCell ref="E8:E9"/>
    <mergeCell ref="B30:H30"/>
    <mergeCell ref="B31:H31"/>
    <mergeCell ref="B32:H32"/>
    <mergeCell ref="B33:H33"/>
    <mergeCell ref="B34:H34"/>
    <mergeCell ref="B35:H35"/>
    <mergeCell ref="B36:H36"/>
    <mergeCell ref="B49:H49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50:H50"/>
    <mergeCell ref="B51:H51"/>
    <mergeCell ref="B52:G52"/>
    <mergeCell ref="B53:G53"/>
    <mergeCell ref="B54:G54"/>
  </mergeCells>
  <hyperlinks>
    <hyperlink ref="B31" r:id="rId1" display="http://rulaws.ru/acts/Prikaz-Mintruda-Rossii-ot-22.12.2014-N-1061n/" xr:uid="{00000000-0004-0000-0200-000000000000}"/>
  </hyperlinks>
  <pageMargins left="0.36" right="0.41" top="0.48" bottom="0.53" header="0.31496062992125984" footer="0.31496062992125984"/>
  <pageSetup paperSize="9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D21"/>
  <sheetViews>
    <sheetView workbookViewId="0">
      <selection activeCell="D4" sqref="D4:D21"/>
    </sheetView>
  </sheetViews>
  <sheetFormatPr defaultRowHeight="12.75" x14ac:dyDescent="0.2"/>
  <cols>
    <col min="1" max="1" width="17.140625" customWidth="1"/>
    <col min="2" max="2" width="40" customWidth="1"/>
  </cols>
  <sheetData>
    <row r="4" spans="1:4" x14ac:dyDescent="0.2">
      <c r="A4" t="s">
        <v>233</v>
      </c>
      <c r="B4" t="s">
        <v>219</v>
      </c>
      <c r="C4">
        <v>26</v>
      </c>
      <c r="D4">
        <v>40</v>
      </c>
    </row>
    <row r="5" spans="1:4" x14ac:dyDescent="0.2">
      <c r="A5" t="s">
        <v>236</v>
      </c>
      <c r="B5" t="s">
        <v>22</v>
      </c>
      <c r="C5">
        <v>26</v>
      </c>
      <c r="D5">
        <v>40</v>
      </c>
    </row>
    <row r="6" spans="1:4" x14ac:dyDescent="0.2">
      <c r="A6" t="s">
        <v>288</v>
      </c>
      <c r="B6" t="s">
        <v>289</v>
      </c>
      <c r="D6">
        <v>40</v>
      </c>
    </row>
    <row r="7" spans="1:4" x14ac:dyDescent="0.2">
      <c r="A7" t="s">
        <v>32</v>
      </c>
      <c r="B7" t="s">
        <v>214</v>
      </c>
      <c r="D7">
        <v>60</v>
      </c>
    </row>
    <row r="8" spans="1:4" x14ac:dyDescent="0.2">
      <c r="A8" t="s">
        <v>34</v>
      </c>
      <c r="B8" t="s">
        <v>250</v>
      </c>
      <c r="C8">
        <v>26</v>
      </c>
      <c r="D8">
        <v>60</v>
      </c>
    </row>
    <row r="9" spans="1:4" x14ac:dyDescent="0.2">
      <c r="A9" t="s">
        <v>46</v>
      </c>
      <c r="B9" t="s">
        <v>254</v>
      </c>
      <c r="C9">
        <v>52</v>
      </c>
    </row>
    <row r="10" spans="1:4" x14ac:dyDescent="0.2">
      <c r="A10" t="s">
        <v>19</v>
      </c>
      <c r="B10" t="s">
        <v>256</v>
      </c>
      <c r="C10">
        <v>104</v>
      </c>
      <c r="D10">
        <v>160</v>
      </c>
    </row>
    <row r="11" spans="1:4" x14ac:dyDescent="0.2">
      <c r="A11" t="s">
        <v>294</v>
      </c>
      <c r="B11" t="s">
        <v>257</v>
      </c>
      <c r="D11">
        <v>40</v>
      </c>
    </row>
    <row r="12" spans="1:4" x14ac:dyDescent="0.2">
      <c r="A12" t="s">
        <v>295</v>
      </c>
      <c r="B12" t="s">
        <v>258</v>
      </c>
      <c r="D12">
        <v>40</v>
      </c>
    </row>
    <row r="13" spans="1:4" x14ac:dyDescent="0.2">
      <c r="A13" t="s">
        <v>21</v>
      </c>
      <c r="B13" t="s">
        <v>262</v>
      </c>
      <c r="C13">
        <v>52</v>
      </c>
    </row>
    <row r="14" spans="1:4" x14ac:dyDescent="0.2">
      <c r="A14" t="s">
        <v>264</v>
      </c>
      <c r="B14" t="s">
        <v>265</v>
      </c>
      <c r="C14">
        <v>52</v>
      </c>
    </row>
    <row r="15" spans="1:4" x14ac:dyDescent="0.2">
      <c r="A15" t="s">
        <v>26</v>
      </c>
      <c r="B15" t="s">
        <v>220</v>
      </c>
      <c r="C15">
        <v>108</v>
      </c>
    </row>
    <row r="16" spans="1:4" x14ac:dyDescent="0.2">
      <c r="A16" t="s">
        <v>216</v>
      </c>
      <c r="B16" t="s">
        <v>267</v>
      </c>
      <c r="C16">
        <v>78</v>
      </c>
      <c r="D16">
        <v>40</v>
      </c>
    </row>
    <row r="17" spans="1:4" x14ac:dyDescent="0.2">
      <c r="A17" t="s">
        <v>224</v>
      </c>
      <c r="B17" t="s">
        <v>268</v>
      </c>
      <c r="D17">
        <v>40</v>
      </c>
    </row>
    <row r="18" spans="1:4" x14ac:dyDescent="0.2">
      <c r="A18" t="s">
        <v>272</v>
      </c>
      <c r="B18" t="s">
        <v>273</v>
      </c>
      <c r="C18">
        <v>52</v>
      </c>
      <c r="D18">
        <v>100</v>
      </c>
    </row>
    <row r="19" spans="1:4" x14ac:dyDescent="0.2">
      <c r="A19" t="s">
        <v>275</v>
      </c>
      <c r="B19" t="s">
        <v>194</v>
      </c>
      <c r="D19">
        <v>72</v>
      </c>
    </row>
    <row r="20" spans="1:4" x14ac:dyDescent="0.2">
      <c r="A20" t="s">
        <v>305</v>
      </c>
      <c r="B20" t="s">
        <v>306</v>
      </c>
      <c r="D20">
        <v>40</v>
      </c>
    </row>
    <row r="21" spans="1:4" x14ac:dyDescent="0.2">
      <c r="A21" t="s">
        <v>304</v>
      </c>
      <c r="B21" t="s">
        <v>104</v>
      </c>
      <c r="D2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1-2 </vt:lpstr>
      <vt:lpstr>3-4</vt:lpstr>
      <vt:lpstr>5-6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Роза Седых</cp:lastModifiedBy>
  <cp:lastPrinted>2024-05-13T10:01:46Z</cp:lastPrinted>
  <dcterms:created xsi:type="dcterms:W3CDTF">2005-01-19T10:32:31Z</dcterms:created>
  <dcterms:modified xsi:type="dcterms:W3CDTF">2024-09-06T07:35:11Z</dcterms:modified>
</cp:coreProperties>
</file>